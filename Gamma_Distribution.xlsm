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125"/>
  <workbookPr date1904="1" showInkAnnotation="0" autoCompressPictures="0"/>
  <bookViews>
    <workbookView xWindow="0" yWindow="0" windowWidth="28740" windowHeight="17540" tabRatio="500"/>
  </bookViews>
  <sheets>
    <sheet name="Gamma_k,theta" sheetId="24" r:id="rId1"/>
  </sheets>
  <definedNames>
    <definedName name="ENV_DATA">OFFSET(#REF!,0,0,COUNT(#REF!),1)</definedName>
    <definedName name="FOIL.LINE.A_HELD__WPN" localSheetId="0">'Gamma_k,theta'!#REF!</definedName>
    <definedName name="N_ENV_DATA">OFFSET(#REF!,0,0,COUNT(#REF!),1)</definedName>
    <definedName name="N_RAWDATA">OFFSET(#REF!,0,0,COUNT(#REF!),1)</definedName>
    <definedName name="OCCURDATA">OFFSET(#REF!,0,0,COUNT(#REF!),1)</definedName>
    <definedName name="RAWDATA">OFFSET(#REF!,0,0,COUNT(#REF!),1)</definedName>
    <definedName name="REFDATA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5" i="24" l="1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R101" i="24"/>
  <c r="Q101" i="24"/>
  <c r="O101" i="24"/>
  <c r="N101" i="24"/>
  <c r="L101" i="24"/>
  <c r="K101" i="24"/>
  <c r="I101" i="24"/>
  <c r="H101" i="24"/>
  <c r="F101" i="24"/>
  <c r="E101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R100" i="24"/>
  <c r="Q100" i="24"/>
  <c r="O100" i="24"/>
  <c r="N100" i="24"/>
  <c r="L100" i="24"/>
  <c r="K100" i="24"/>
  <c r="I100" i="24"/>
  <c r="H100" i="24"/>
  <c r="F100" i="24"/>
  <c r="E100" i="24"/>
  <c r="R99" i="24"/>
  <c r="Q99" i="24"/>
  <c r="O99" i="24"/>
  <c r="N99" i="24"/>
  <c r="L99" i="24"/>
  <c r="K99" i="24"/>
  <c r="I99" i="24"/>
  <c r="H99" i="24"/>
  <c r="F99" i="24"/>
  <c r="E99" i="24"/>
  <c r="R98" i="24"/>
  <c r="Q98" i="24"/>
  <c r="O98" i="24"/>
  <c r="N98" i="24"/>
  <c r="L98" i="24"/>
  <c r="K98" i="24"/>
  <c r="I98" i="24"/>
  <c r="H98" i="24"/>
  <c r="F98" i="24"/>
  <c r="E98" i="24"/>
  <c r="R97" i="24"/>
  <c r="Q97" i="24"/>
  <c r="O97" i="24"/>
  <c r="N97" i="24"/>
  <c r="L97" i="24"/>
  <c r="K97" i="24"/>
  <c r="I97" i="24"/>
  <c r="H97" i="24"/>
  <c r="F97" i="24"/>
  <c r="E97" i="24"/>
  <c r="R96" i="24"/>
  <c r="Q96" i="24"/>
  <c r="O96" i="24"/>
  <c r="N96" i="24"/>
  <c r="L96" i="24"/>
  <c r="K96" i="24"/>
  <c r="I96" i="24"/>
  <c r="H96" i="24"/>
  <c r="F96" i="24"/>
  <c r="E96" i="24"/>
  <c r="R95" i="24"/>
  <c r="Q95" i="24"/>
  <c r="O95" i="24"/>
  <c r="N95" i="24"/>
  <c r="L95" i="24"/>
  <c r="K95" i="24"/>
  <c r="I95" i="24"/>
  <c r="H95" i="24"/>
  <c r="F95" i="24"/>
  <c r="E95" i="24"/>
  <c r="R94" i="24"/>
  <c r="Q94" i="24"/>
  <c r="O94" i="24"/>
  <c r="N94" i="24"/>
  <c r="L94" i="24"/>
  <c r="K94" i="24"/>
  <c r="I94" i="24"/>
  <c r="H94" i="24"/>
  <c r="F94" i="24"/>
  <c r="E94" i="24"/>
  <c r="R93" i="24"/>
  <c r="Q93" i="24"/>
  <c r="O93" i="24"/>
  <c r="N93" i="24"/>
  <c r="L93" i="24"/>
  <c r="K93" i="24"/>
  <c r="I93" i="24"/>
  <c r="H93" i="24"/>
  <c r="F93" i="24"/>
  <c r="E93" i="24"/>
  <c r="R92" i="24"/>
  <c r="Q92" i="24"/>
  <c r="O92" i="24"/>
  <c r="N92" i="24"/>
  <c r="L92" i="24"/>
  <c r="K92" i="24"/>
  <c r="I92" i="24"/>
  <c r="H92" i="24"/>
  <c r="F92" i="24"/>
  <c r="E92" i="24"/>
  <c r="R91" i="24"/>
  <c r="Q91" i="24"/>
  <c r="O91" i="24"/>
  <c r="N91" i="24"/>
  <c r="L91" i="24"/>
  <c r="K91" i="24"/>
  <c r="I91" i="24"/>
  <c r="H91" i="24"/>
  <c r="F91" i="24"/>
  <c r="E91" i="24"/>
  <c r="R90" i="24"/>
  <c r="Q90" i="24"/>
  <c r="O90" i="24"/>
  <c r="N90" i="24"/>
  <c r="L90" i="24"/>
  <c r="K90" i="24"/>
  <c r="I90" i="24"/>
  <c r="H90" i="24"/>
  <c r="F90" i="24"/>
  <c r="E90" i="24"/>
  <c r="R89" i="24"/>
  <c r="Q89" i="24"/>
  <c r="O89" i="24"/>
  <c r="N89" i="24"/>
  <c r="L89" i="24"/>
  <c r="K89" i="24"/>
  <c r="I89" i="24"/>
  <c r="H89" i="24"/>
  <c r="F89" i="24"/>
  <c r="E89" i="24"/>
  <c r="R88" i="24"/>
  <c r="Q88" i="24"/>
  <c r="O88" i="24"/>
  <c r="N88" i="24"/>
  <c r="L88" i="24"/>
  <c r="K88" i="24"/>
  <c r="I88" i="24"/>
  <c r="H88" i="24"/>
  <c r="F88" i="24"/>
  <c r="E88" i="24"/>
  <c r="R87" i="24"/>
  <c r="Q87" i="24"/>
  <c r="O87" i="24"/>
  <c r="N87" i="24"/>
  <c r="L87" i="24"/>
  <c r="K87" i="24"/>
  <c r="I87" i="24"/>
  <c r="H87" i="24"/>
  <c r="F87" i="24"/>
  <c r="E87" i="24"/>
  <c r="R86" i="24"/>
  <c r="Q86" i="24"/>
  <c r="O86" i="24"/>
  <c r="N86" i="24"/>
  <c r="L86" i="24"/>
  <c r="K86" i="24"/>
  <c r="I86" i="24"/>
  <c r="H86" i="24"/>
  <c r="F86" i="24"/>
  <c r="E86" i="24"/>
  <c r="R85" i="24"/>
  <c r="Q85" i="24"/>
  <c r="O85" i="24"/>
  <c r="N85" i="24"/>
  <c r="L85" i="24"/>
  <c r="K85" i="24"/>
  <c r="I85" i="24"/>
  <c r="H85" i="24"/>
  <c r="F85" i="24"/>
  <c r="E85" i="24"/>
  <c r="R84" i="24"/>
  <c r="Q84" i="24"/>
  <c r="O84" i="24"/>
  <c r="N84" i="24"/>
  <c r="L84" i="24"/>
  <c r="K84" i="24"/>
  <c r="I84" i="24"/>
  <c r="H84" i="24"/>
  <c r="F84" i="24"/>
  <c r="E84" i="24"/>
  <c r="R83" i="24"/>
  <c r="Q83" i="24"/>
  <c r="O83" i="24"/>
  <c r="N83" i="24"/>
  <c r="L83" i="24"/>
  <c r="K83" i="24"/>
  <c r="I83" i="24"/>
  <c r="H83" i="24"/>
  <c r="F83" i="24"/>
  <c r="E83" i="24"/>
  <c r="R82" i="24"/>
  <c r="Q82" i="24"/>
  <c r="O82" i="24"/>
  <c r="N82" i="24"/>
  <c r="L82" i="24"/>
  <c r="K82" i="24"/>
  <c r="I82" i="24"/>
  <c r="H82" i="24"/>
  <c r="F82" i="24"/>
  <c r="E82" i="24"/>
  <c r="R81" i="24"/>
  <c r="Q81" i="24"/>
  <c r="O81" i="24"/>
  <c r="N81" i="24"/>
  <c r="L81" i="24"/>
  <c r="K81" i="24"/>
  <c r="I81" i="24"/>
  <c r="H81" i="24"/>
  <c r="F81" i="24"/>
  <c r="E81" i="24"/>
  <c r="R80" i="24"/>
  <c r="Q80" i="24"/>
  <c r="O80" i="24"/>
  <c r="N80" i="24"/>
  <c r="L80" i="24"/>
  <c r="K80" i="24"/>
  <c r="I80" i="24"/>
  <c r="H80" i="24"/>
  <c r="F80" i="24"/>
  <c r="E80" i="24"/>
  <c r="R79" i="24"/>
  <c r="Q79" i="24"/>
  <c r="O79" i="24"/>
  <c r="N79" i="24"/>
  <c r="L79" i="24"/>
  <c r="K79" i="24"/>
  <c r="I79" i="24"/>
  <c r="H79" i="24"/>
  <c r="F79" i="24"/>
  <c r="E79" i="24"/>
  <c r="R78" i="24"/>
  <c r="Q78" i="24"/>
  <c r="O78" i="24"/>
  <c r="N78" i="24"/>
  <c r="L78" i="24"/>
  <c r="K78" i="24"/>
  <c r="I78" i="24"/>
  <c r="H78" i="24"/>
  <c r="F78" i="24"/>
  <c r="E78" i="24"/>
  <c r="R77" i="24"/>
  <c r="Q77" i="24"/>
  <c r="O77" i="24"/>
  <c r="N77" i="24"/>
  <c r="L77" i="24"/>
  <c r="K77" i="24"/>
  <c r="I77" i="24"/>
  <c r="H77" i="24"/>
  <c r="F77" i="24"/>
  <c r="E77" i="24"/>
  <c r="R76" i="24"/>
  <c r="Q76" i="24"/>
  <c r="O76" i="24"/>
  <c r="N76" i="24"/>
  <c r="L76" i="24"/>
  <c r="K76" i="24"/>
  <c r="I76" i="24"/>
  <c r="H76" i="24"/>
  <c r="F76" i="24"/>
  <c r="E76" i="24"/>
  <c r="R75" i="24"/>
  <c r="Q75" i="24"/>
  <c r="O75" i="24"/>
  <c r="N75" i="24"/>
  <c r="L75" i="24"/>
  <c r="K75" i="24"/>
  <c r="I75" i="24"/>
  <c r="H75" i="24"/>
  <c r="F75" i="24"/>
  <c r="E75" i="24"/>
  <c r="R74" i="24"/>
  <c r="Q74" i="24"/>
  <c r="O74" i="24"/>
  <c r="N74" i="24"/>
  <c r="L74" i="24"/>
  <c r="K74" i="24"/>
  <c r="I74" i="24"/>
  <c r="H74" i="24"/>
  <c r="F74" i="24"/>
  <c r="E74" i="24"/>
  <c r="R73" i="24"/>
  <c r="Q73" i="24"/>
  <c r="O73" i="24"/>
  <c r="N73" i="24"/>
  <c r="L73" i="24"/>
  <c r="K73" i="24"/>
  <c r="I73" i="24"/>
  <c r="H73" i="24"/>
  <c r="F73" i="24"/>
  <c r="E73" i="24"/>
  <c r="R72" i="24"/>
  <c r="Q72" i="24"/>
  <c r="O72" i="24"/>
  <c r="N72" i="24"/>
  <c r="L72" i="24"/>
  <c r="K72" i="24"/>
  <c r="I72" i="24"/>
  <c r="H72" i="24"/>
  <c r="F72" i="24"/>
  <c r="E72" i="24"/>
  <c r="R71" i="24"/>
  <c r="Q71" i="24"/>
  <c r="O71" i="24"/>
  <c r="N71" i="24"/>
  <c r="L71" i="24"/>
  <c r="K71" i="24"/>
  <c r="I71" i="24"/>
  <c r="H71" i="24"/>
  <c r="F71" i="24"/>
  <c r="E71" i="24"/>
  <c r="R70" i="24"/>
  <c r="Q70" i="24"/>
  <c r="O70" i="24"/>
  <c r="N70" i="24"/>
  <c r="L70" i="24"/>
  <c r="K70" i="24"/>
  <c r="I70" i="24"/>
  <c r="H70" i="24"/>
  <c r="F70" i="24"/>
  <c r="E70" i="24"/>
  <c r="R69" i="24"/>
  <c r="Q69" i="24"/>
  <c r="O69" i="24"/>
  <c r="N69" i="24"/>
  <c r="L69" i="24"/>
  <c r="K69" i="24"/>
  <c r="I69" i="24"/>
  <c r="H69" i="24"/>
  <c r="F69" i="24"/>
  <c r="E69" i="24"/>
  <c r="R68" i="24"/>
  <c r="Q68" i="24"/>
  <c r="O68" i="24"/>
  <c r="N68" i="24"/>
  <c r="L68" i="24"/>
  <c r="K68" i="24"/>
  <c r="I68" i="24"/>
  <c r="H68" i="24"/>
  <c r="F68" i="24"/>
  <c r="E68" i="24"/>
  <c r="R67" i="24"/>
  <c r="Q67" i="24"/>
  <c r="O67" i="24"/>
  <c r="N67" i="24"/>
  <c r="L67" i="24"/>
  <c r="K67" i="24"/>
  <c r="I67" i="24"/>
  <c r="H67" i="24"/>
  <c r="F67" i="24"/>
  <c r="E67" i="24"/>
  <c r="R66" i="24"/>
  <c r="Q66" i="24"/>
  <c r="O66" i="24"/>
  <c r="N66" i="24"/>
  <c r="L66" i="24"/>
  <c r="K66" i="24"/>
  <c r="I66" i="24"/>
  <c r="H66" i="24"/>
  <c r="F66" i="24"/>
  <c r="E66" i="24"/>
  <c r="R65" i="24"/>
  <c r="Q65" i="24"/>
  <c r="O65" i="24"/>
  <c r="N65" i="24"/>
  <c r="L65" i="24"/>
  <c r="K65" i="24"/>
  <c r="I65" i="24"/>
  <c r="H65" i="24"/>
  <c r="F65" i="24"/>
  <c r="E65" i="24"/>
  <c r="R64" i="24"/>
  <c r="Q64" i="24"/>
  <c r="O64" i="24"/>
  <c r="N64" i="24"/>
  <c r="L64" i="24"/>
  <c r="K64" i="24"/>
  <c r="I64" i="24"/>
  <c r="H64" i="24"/>
  <c r="F64" i="24"/>
  <c r="E64" i="24"/>
  <c r="R63" i="24"/>
  <c r="Q63" i="24"/>
  <c r="O63" i="24"/>
  <c r="N63" i="24"/>
  <c r="L63" i="24"/>
  <c r="K63" i="24"/>
  <c r="I63" i="24"/>
  <c r="H63" i="24"/>
  <c r="F63" i="24"/>
  <c r="E63" i="24"/>
  <c r="R62" i="24"/>
  <c r="Q62" i="24"/>
  <c r="O62" i="24"/>
  <c r="N62" i="24"/>
  <c r="L62" i="24"/>
  <c r="K62" i="24"/>
  <c r="I62" i="24"/>
  <c r="H62" i="24"/>
  <c r="F62" i="24"/>
  <c r="E62" i="24"/>
  <c r="R61" i="24"/>
  <c r="Q61" i="24"/>
  <c r="O61" i="24"/>
  <c r="N61" i="24"/>
  <c r="L61" i="24"/>
  <c r="K61" i="24"/>
  <c r="I61" i="24"/>
  <c r="H61" i="24"/>
  <c r="F61" i="24"/>
  <c r="E61" i="24"/>
  <c r="R60" i="24"/>
  <c r="Q60" i="24"/>
  <c r="O60" i="24"/>
  <c r="N60" i="24"/>
  <c r="L60" i="24"/>
  <c r="K60" i="24"/>
  <c r="I60" i="24"/>
  <c r="H60" i="24"/>
  <c r="F60" i="24"/>
  <c r="E60" i="24"/>
  <c r="R59" i="24"/>
  <c r="Q59" i="24"/>
  <c r="O59" i="24"/>
  <c r="N59" i="24"/>
  <c r="L59" i="24"/>
  <c r="K59" i="24"/>
  <c r="I59" i="24"/>
  <c r="H59" i="24"/>
  <c r="F59" i="24"/>
  <c r="E59" i="24"/>
  <c r="R58" i="24"/>
  <c r="Q58" i="24"/>
  <c r="O58" i="24"/>
  <c r="N58" i="24"/>
  <c r="L58" i="24"/>
  <c r="K58" i="24"/>
  <c r="I58" i="24"/>
  <c r="H58" i="24"/>
  <c r="F58" i="24"/>
  <c r="E58" i="24"/>
  <c r="R57" i="24"/>
  <c r="Q57" i="24"/>
  <c r="O57" i="24"/>
  <c r="N57" i="24"/>
  <c r="L57" i="24"/>
  <c r="K57" i="24"/>
  <c r="I57" i="24"/>
  <c r="H57" i="24"/>
  <c r="F57" i="24"/>
  <c r="E57" i="24"/>
  <c r="R56" i="24"/>
  <c r="Q56" i="24"/>
  <c r="O56" i="24"/>
  <c r="N56" i="24"/>
  <c r="L56" i="24"/>
  <c r="K56" i="24"/>
  <c r="I56" i="24"/>
  <c r="H56" i="24"/>
  <c r="F56" i="24"/>
  <c r="E56" i="24"/>
  <c r="R55" i="24"/>
  <c r="Q55" i="24"/>
  <c r="O55" i="24"/>
  <c r="N55" i="24"/>
  <c r="L55" i="24"/>
  <c r="K55" i="24"/>
  <c r="I55" i="24"/>
  <c r="H55" i="24"/>
  <c r="F55" i="24"/>
  <c r="E55" i="24"/>
  <c r="R4" i="24"/>
  <c r="Q4" i="24"/>
  <c r="O4" i="24"/>
  <c r="N4" i="24"/>
  <c r="L4" i="24"/>
  <c r="K4" i="24"/>
  <c r="I4" i="24"/>
  <c r="H4" i="24"/>
  <c r="F4" i="24"/>
  <c r="E4" i="24"/>
  <c r="R3" i="24"/>
  <c r="O3" i="24"/>
  <c r="L3" i="24"/>
  <c r="I3" i="24"/>
  <c r="F3" i="24"/>
  <c r="C6" i="24"/>
  <c r="C7" i="24"/>
  <c r="C8" i="24"/>
  <c r="C9" i="24"/>
  <c r="C10" i="24"/>
  <c r="C11" i="24"/>
  <c r="R11" i="24"/>
  <c r="Q11" i="24"/>
  <c r="O11" i="24"/>
  <c r="N11" i="24"/>
  <c r="L11" i="24"/>
  <c r="K11" i="24"/>
  <c r="I11" i="24"/>
  <c r="H11" i="24"/>
  <c r="F11" i="24"/>
  <c r="E11" i="24"/>
  <c r="B6" i="24"/>
  <c r="B7" i="24"/>
  <c r="B8" i="24"/>
  <c r="B9" i="24"/>
  <c r="B10" i="24"/>
  <c r="B11" i="24"/>
  <c r="R10" i="24"/>
  <c r="Q10" i="24"/>
  <c r="O10" i="24"/>
  <c r="N10" i="24"/>
  <c r="L10" i="24"/>
  <c r="K10" i="24"/>
  <c r="I10" i="24"/>
  <c r="H10" i="24"/>
  <c r="F10" i="24"/>
  <c r="E10" i="24"/>
  <c r="R9" i="24"/>
  <c r="Q9" i="24"/>
  <c r="O9" i="24"/>
  <c r="N9" i="24"/>
  <c r="L9" i="24"/>
  <c r="K9" i="24"/>
  <c r="I9" i="24"/>
  <c r="H9" i="24"/>
  <c r="F9" i="24"/>
  <c r="E9" i="24"/>
  <c r="R8" i="24"/>
  <c r="Q8" i="24"/>
  <c r="O8" i="24"/>
  <c r="N8" i="24"/>
  <c r="L8" i="24"/>
  <c r="K8" i="24"/>
  <c r="I8" i="24"/>
  <c r="H8" i="24"/>
  <c r="F8" i="24"/>
  <c r="E8" i="24"/>
  <c r="R7" i="24"/>
  <c r="Q7" i="24"/>
  <c r="O7" i="24"/>
  <c r="N7" i="24"/>
  <c r="L7" i="24"/>
  <c r="K7" i="24"/>
  <c r="I7" i="24"/>
  <c r="H7" i="24"/>
  <c r="F7" i="24"/>
  <c r="E7" i="24"/>
  <c r="R6" i="24"/>
  <c r="Q6" i="24"/>
  <c r="O6" i="24"/>
  <c r="N6" i="24"/>
  <c r="L6" i="24"/>
  <c r="K6" i="24"/>
  <c r="I6" i="24"/>
  <c r="H6" i="24"/>
  <c r="F6" i="24"/>
  <c r="E6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R46" i="24"/>
  <c r="Q46" i="24"/>
  <c r="O46" i="24"/>
  <c r="N46" i="24"/>
  <c r="L46" i="24"/>
  <c r="K46" i="24"/>
  <c r="I46" i="24"/>
  <c r="H46" i="24"/>
  <c r="F46" i="24"/>
  <c r="E46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R45" i="24"/>
  <c r="Q45" i="24"/>
  <c r="O45" i="24"/>
  <c r="N45" i="24"/>
  <c r="L45" i="24"/>
  <c r="K45" i="24"/>
  <c r="I45" i="24"/>
  <c r="H45" i="24"/>
  <c r="F45" i="24"/>
  <c r="E45" i="24"/>
  <c r="R44" i="24"/>
  <c r="Q44" i="24"/>
  <c r="O44" i="24"/>
  <c r="N44" i="24"/>
  <c r="L44" i="24"/>
  <c r="K44" i="24"/>
  <c r="I44" i="24"/>
  <c r="H44" i="24"/>
  <c r="F44" i="24"/>
  <c r="E44" i="24"/>
  <c r="R43" i="24"/>
  <c r="Q43" i="24"/>
  <c r="O43" i="24"/>
  <c r="N43" i="24"/>
  <c r="L43" i="24"/>
  <c r="K43" i="24"/>
  <c r="I43" i="24"/>
  <c r="H43" i="24"/>
  <c r="F43" i="24"/>
  <c r="E43" i="24"/>
  <c r="R42" i="24"/>
  <c r="Q42" i="24"/>
  <c r="O42" i="24"/>
  <c r="N42" i="24"/>
  <c r="L42" i="24"/>
  <c r="K42" i="24"/>
  <c r="I42" i="24"/>
  <c r="H42" i="24"/>
  <c r="F42" i="24"/>
  <c r="E42" i="24"/>
  <c r="R41" i="24"/>
  <c r="Q41" i="24"/>
  <c r="O41" i="24"/>
  <c r="N41" i="24"/>
  <c r="L41" i="24"/>
  <c r="K41" i="24"/>
  <c r="I41" i="24"/>
  <c r="H41" i="24"/>
  <c r="F41" i="24"/>
  <c r="E41" i="24"/>
  <c r="R36" i="24"/>
  <c r="Q36" i="24"/>
  <c r="O36" i="24"/>
  <c r="N36" i="24"/>
  <c r="L36" i="24"/>
  <c r="K36" i="24"/>
  <c r="I36" i="24"/>
  <c r="H36" i="24"/>
  <c r="F36" i="24"/>
  <c r="E36" i="24"/>
  <c r="R35" i="24"/>
  <c r="Q35" i="24"/>
  <c r="O35" i="24"/>
  <c r="N35" i="24"/>
  <c r="L35" i="24"/>
  <c r="K35" i="24"/>
  <c r="I35" i="24"/>
  <c r="H35" i="24"/>
  <c r="F35" i="24"/>
  <c r="E35" i="24"/>
  <c r="R34" i="24"/>
  <c r="Q34" i="24"/>
  <c r="O34" i="24"/>
  <c r="N34" i="24"/>
  <c r="L34" i="24"/>
  <c r="K34" i="24"/>
  <c r="I34" i="24"/>
  <c r="H34" i="24"/>
  <c r="F34" i="24"/>
  <c r="E34" i="24"/>
  <c r="R33" i="24"/>
  <c r="Q33" i="24"/>
  <c r="O33" i="24"/>
  <c r="N33" i="24"/>
  <c r="L33" i="24"/>
  <c r="K33" i="24"/>
  <c r="I33" i="24"/>
  <c r="H33" i="24"/>
  <c r="F33" i="24"/>
  <c r="E33" i="24"/>
  <c r="R32" i="24"/>
  <c r="Q32" i="24"/>
  <c r="O32" i="24"/>
  <c r="N32" i="24"/>
  <c r="L32" i="24"/>
  <c r="K32" i="24"/>
  <c r="I32" i="24"/>
  <c r="H32" i="24"/>
  <c r="F32" i="24"/>
  <c r="E32" i="24"/>
  <c r="R31" i="24"/>
  <c r="Q31" i="24"/>
  <c r="O31" i="24"/>
  <c r="N31" i="24"/>
  <c r="L31" i="24"/>
  <c r="K31" i="24"/>
  <c r="I31" i="24"/>
  <c r="H31" i="24"/>
  <c r="F31" i="24"/>
  <c r="E31" i="24"/>
  <c r="R26" i="24"/>
  <c r="Q26" i="24"/>
  <c r="O26" i="24"/>
  <c r="N26" i="24"/>
  <c r="L26" i="24"/>
  <c r="K26" i="24"/>
  <c r="I26" i="24"/>
  <c r="H26" i="24"/>
  <c r="F26" i="24"/>
  <c r="E26" i="24"/>
  <c r="R25" i="24"/>
  <c r="Q25" i="24"/>
  <c r="O25" i="24"/>
  <c r="N25" i="24"/>
  <c r="L25" i="24"/>
  <c r="K25" i="24"/>
  <c r="I25" i="24"/>
  <c r="H25" i="24"/>
  <c r="F25" i="24"/>
  <c r="E25" i="24"/>
  <c r="R24" i="24"/>
  <c r="Q24" i="24"/>
  <c r="O24" i="24"/>
  <c r="N24" i="24"/>
  <c r="L24" i="24"/>
  <c r="K24" i="24"/>
  <c r="I24" i="24"/>
  <c r="H24" i="24"/>
  <c r="F24" i="24"/>
  <c r="E24" i="24"/>
  <c r="R23" i="24"/>
  <c r="Q23" i="24"/>
  <c r="O23" i="24"/>
  <c r="N23" i="24"/>
  <c r="L23" i="24"/>
  <c r="K23" i="24"/>
  <c r="I23" i="24"/>
  <c r="H23" i="24"/>
  <c r="F23" i="24"/>
  <c r="E23" i="24"/>
  <c r="R22" i="24"/>
  <c r="Q22" i="24"/>
  <c r="O22" i="24"/>
  <c r="N22" i="24"/>
  <c r="L22" i="24"/>
  <c r="K22" i="24"/>
  <c r="I22" i="24"/>
  <c r="H22" i="24"/>
  <c r="F22" i="24"/>
  <c r="E22" i="24"/>
  <c r="R21" i="24"/>
  <c r="Q21" i="24"/>
  <c r="O21" i="24"/>
  <c r="N21" i="24"/>
  <c r="L21" i="24"/>
  <c r="K21" i="24"/>
  <c r="I21" i="24"/>
  <c r="H21" i="24"/>
  <c r="F21" i="24"/>
  <c r="E21" i="24"/>
  <c r="C47" i="24"/>
  <c r="C48" i="24"/>
  <c r="C49" i="24"/>
  <c r="C50" i="24"/>
  <c r="C51" i="24"/>
  <c r="C52" i="24"/>
  <c r="C53" i="24"/>
  <c r="C54" i="24"/>
  <c r="B47" i="24"/>
  <c r="B48" i="24"/>
  <c r="B49" i="24"/>
  <c r="B50" i="24"/>
  <c r="B51" i="24"/>
  <c r="B52" i="24"/>
  <c r="B53" i="24"/>
  <c r="B54" i="24"/>
  <c r="R54" i="24"/>
  <c r="Q54" i="24"/>
  <c r="O54" i="24"/>
  <c r="N54" i="24"/>
  <c r="L54" i="24"/>
  <c r="K54" i="24"/>
  <c r="I54" i="24"/>
  <c r="H54" i="24"/>
  <c r="F54" i="24"/>
  <c r="E54" i="24"/>
  <c r="R53" i="24"/>
  <c r="Q53" i="24"/>
  <c r="O53" i="24"/>
  <c r="N53" i="24"/>
  <c r="L53" i="24"/>
  <c r="K53" i="24"/>
  <c r="I53" i="24"/>
  <c r="H53" i="24"/>
  <c r="F53" i="24"/>
  <c r="E53" i="24"/>
  <c r="R52" i="24"/>
  <c r="Q52" i="24"/>
  <c r="O52" i="24"/>
  <c r="N52" i="24"/>
  <c r="L52" i="24"/>
  <c r="K52" i="24"/>
  <c r="I52" i="24"/>
  <c r="H52" i="24"/>
  <c r="F52" i="24"/>
  <c r="E52" i="24"/>
  <c r="R51" i="24"/>
  <c r="Q51" i="24"/>
  <c r="O51" i="24"/>
  <c r="N51" i="24"/>
  <c r="L51" i="24"/>
  <c r="K51" i="24"/>
  <c r="I51" i="24"/>
  <c r="H51" i="24"/>
  <c r="F51" i="24"/>
  <c r="E51" i="24"/>
  <c r="R50" i="24"/>
  <c r="Q50" i="24"/>
  <c r="O50" i="24"/>
  <c r="N50" i="24"/>
  <c r="L50" i="24"/>
  <c r="K50" i="24"/>
  <c r="I50" i="24"/>
  <c r="H50" i="24"/>
  <c r="F50" i="24"/>
  <c r="E50" i="24"/>
  <c r="R49" i="24"/>
  <c r="Q49" i="24"/>
  <c r="O49" i="24"/>
  <c r="N49" i="24"/>
  <c r="L49" i="24"/>
  <c r="K49" i="24"/>
  <c r="I49" i="24"/>
  <c r="H49" i="24"/>
  <c r="F49" i="24"/>
  <c r="E49" i="24"/>
  <c r="R48" i="24"/>
  <c r="Q48" i="24"/>
  <c r="O48" i="24"/>
  <c r="N48" i="24"/>
  <c r="L48" i="24"/>
  <c r="K48" i="24"/>
  <c r="I48" i="24"/>
  <c r="H48" i="24"/>
  <c r="F48" i="24"/>
  <c r="E48" i="24"/>
  <c r="R47" i="24"/>
  <c r="Q47" i="24"/>
  <c r="O47" i="24"/>
  <c r="N47" i="24"/>
  <c r="L47" i="24"/>
  <c r="K47" i="24"/>
  <c r="I47" i="24"/>
  <c r="H47" i="24"/>
  <c r="F47" i="24"/>
  <c r="E47" i="24"/>
  <c r="R40" i="24"/>
  <c r="Q40" i="24"/>
  <c r="O40" i="24"/>
  <c r="N40" i="24"/>
  <c r="L40" i="24"/>
  <c r="K40" i="24"/>
  <c r="I40" i="24"/>
  <c r="H40" i="24"/>
  <c r="F40" i="24"/>
  <c r="E40" i="24"/>
  <c r="R39" i="24"/>
  <c r="Q39" i="24"/>
  <c r="O39" i="24"/>
  <c r="N39" i="24"/>
  <c r="L39" i="24"/>
  <c r="K39" i="24"/>
  <c r="I39" i="24"/>
  <c r="H39" i="24"/>
  <c r="F39" i="24"/>
  <c r="E39" i="24"/>
  <c r="R38" i="24"/>
  <c r="Q38" i="24"/>
  <c r="O38" i="24"/>
  <c r="N38" i="24"/>
  <c r="L38" i="24"/>
  <c r="K38" i="24"/>
  <c r="I38" i="24"/>
  <c r="H38" i="24"/>
  <c r="F38" i="24"/>
  <c r="E38" i="24"/>
  <c r="R37" i="24"/>
  <c r="Q37" i="24"/>
  <c r="O37" i="24"/>
  <c r="N37" i="24"/>
  <c r="L37" i="24"/>
  <c r="K37" i="24"/>
  <c r="I37" i="24"/>
  <c r="H37" i="24"/>
  <c r="F37" i="24"/>
  <c r="E37" i="24"/>
  <c r="R30" i="24"/>
  <c r="Q30" i="24"/>
  <c r="O30" i="24"/>
  <c r="N30" i="24"/>
  <c r="L30" i="24"/>
  <c r="K30" i="24"/>
  <c r="I30" i="24"/>
  <c r="H30" i="24"/>
  <c r="F30" i="24"/>
  <c r="E30" i="24"/>
  <c r="R29" i="24"/>
  <c r="Q29" i="24"/>
  <c r="O29" i="24"/>
  <c r="N29" i="24"/>
  <c r="L29" i="24"/>
  <c r="K29" i="24"/>
  <c r="I29" i="24"/>
  <c r="H29" i="24"/>
  <c r="F29" i="24"/>
  <c r="E29" i="24"/>
  <c r="R28" i="24"/>
  <c r="Q28" i="24"/>
  <c r="O28" i="24"/>
  <c r="N28" i="24"/>
  <c r="L28" i="24"/>
  <c r="K28" i="24"/>
  <c r="I28" i="24"/>
  <c r="H28" i="24"/>
  <c r="F28" i="24"/>
  <c r="E28" i="24"/>
  <c r="R27" i="24"/>
  <c r="Q27" i="24"/>
  <c r="O27" i="24"/>
  <c r="N27" i="24"/>
  <c r="L27" i="24"/>
  <c r="K27" i="24"/>
  <c r="I27" i="24"/>
  <c r="H27" i="24"/>
  <c r="F27" i="24"/>
  <c r="E27" i="24"/>
  <c r="R20" i="24"/>
  <c r="Q20" i="24"/>
  <c r="O20" i="24"/>
  <c r="N20" i="24"/>
  <c r="L20" i="24"/>
  <c r="K20" i="24"/>
  <c r="I20" i="24"/>
  <c r="H20" i="24"/>
  <c r="F20" i="24"/>
  <c r="E20" i="24"/>
  <c r="R19" i="24"/>
  <c r="Q19" i="24"/>
  <c r="O19" i="24"/>
  <c r="N19" i="24"/>
  <c r="L19" i="24"/>
  <c r="K19" i="24"/>
  <c r="I19" i="24"/>
  <c r="H19" i="24"/>
  <c r="F19" i="24"/>
  <c r="E19" i="24"/>
  <c r="R18" i="24"/>
  <c r="Q18" i="24"/>
  <c r="O18" i="24"/>
  <c r="N18" i="24"/>
  <c r="L18" i="24"/>
  <c r="K18" i="24"/>
  <c r="I18" i="24"/>
  <c r="H18" i="24"/>
  <c r="F18" i="24"/>
  <c r="E18" i="24"/>
  <c r="R17" i="24"/>
  <c r="Q17" i="24"/>
  <c r="R16" i="24"/>
  <c r="Q16" i="24"/>
  <c r="R15" i="24"/>
  <c r="Q15" i="24"/>
  <c r="R14" i="24"/>
  <c r="Q14" i="24"/>
  <c r="R13" i="24"/>
  <c r="Q13" i="24"/>
  <c r="R12" i="24"/>
  <c r="Q12" i="24"/>
  <c r="R5" i="24"/>
  <c r="Q5" i="24"/>
  <c r="O17" i="24"/>
  <c r="N17" i="24"/>
  <c r="O16" i="24"/>
  <c r="N16" i="24"/>
  <c r="O15" i="24"/>
  <c r="N15" i="24"/>
  <c r="O14" i="24"/>
  <c r="N14" i="24"/>
  <c r="O13" i="24"/>
  <c r="N13" i="24"/>
  <c r="O12" i="24"/>
  <c r="N12" i="24"/>
  <c r="O5" i="24"/>
  <c r="N5" i="24"/>
  <c r="L17" i="24"/>
  <c r="K17" i="24"/>
  <c r="L16" i="24"/>
  <c r="K16" i="24"/>
  <c r="L15" i="24"/>
  <c r="K15" i="24"/>
  <c r="L14" i="24"/>
  <c r="K14" i="24"/>
  <c r="L13" i="24"/>
  <c r="K13" i="24"/>
  <c r="L12" i="24"/>
  <c r="K12" i="24"/>
  <c r="L5" i="24"/>
  <c r="K5" i="24"/>
  <c r="I17" i="24"/>
  <c r="H17" i="24"/>
  <c r="I16" i="24"/>
  <c r="H16" i="24"/>
  <c r="I15" i="24"/>
  <c r="H15" i="24"/>
  <c r="I14" i="24"/>
  <c r="H14" i="24"/>
  <c r="I13" i="24"/>
  <c r="H13" i="24"/>
  <c r="I12" i="24"/>
  <c r="H12" i="24"/>
  <c r="I5" i="24"/>
  <c r="H5" i="24"/>
  <c r="F17" i="24"/>
  <c r="E17" i="24"/>
  <c r="F16" i="24"/>
  <c r="E16" i="24"/>
  <c r="F15" i="24"/>
  <c r="E15" i="24"/>
  <c r="F14" i="24"/>
  <c r="E14" i="24"/>
  <c r="F13" i="24"/>
  <c r="E13" i="24"/>
  <c r="F12" i="24"/>
  <c r="E12" i="24"/>
  <c r="F5" i="24"/>
  <c r="E5" i="24"/>
</calcChain>
</file>

<file path=xl/connections.xml><?xml version="1.0" encoding="utf-8"?>
<connections xmlns="http://schemas.openxmlformats.org/spreadsheetml/2006/main">
  <connection id="1" name="EPEE.LINE.C-HELD.csv" type="6" refreshedVersion="0" background="1" saveData="1">
    <textPr fileType="mac" sourceFile="Macintosh:Users:jeromedrouin:Documents:Arduino:Projects:WORK_CapacitiveSensors:Weapon Data:Weapon Data - DISTRIBUTION:EPEE.LINE.C-HELD.csv" comma="1" semicolon="1">
      <textFields count="5">
        <textField/>
        <textField/>
        <textField/>
        <textField/>
        <textField/>
      </textFields>
    </textPr>
  </connection>
  <connection id="2" name="FOIL.LINE.A-HELD +WPN.csv" type="6" refreshedVersion="0" background="1" saveData="1">
    <textPr fileType="mac" sourceFile="Macintosh:Users:jeromedrouin:Documents:Arduino:Projects:WORK_CapacitiveSensors:Weapon Data:Weapon Data - DISTRIBUTION:FOIL.LINE.A-HELD +WPN.csv" comma="1" semicolon="1">
      <textFields count="5">
        <textField/>
        <textField/>
        <textField/>
        <textField/>
        <textField/>
      </textFields>
    </textPr>
  </connection>
  <connection id="3" name="FOIL.LINE.A-HELD.csv" type="6" refreshedVersion="0" background="1" saveData="1">
    <textPr fileType="mac" sourceFile="Macintosh:Users:jeromedrouin:Documents:Arduino:Projects:WORK_CapacitiveSensors:Weapon Data:Weapon Data - DISTRIBUTION:FOIL.LINE.A-HELD.csv" comma="1" semicolon="1">
      <textFields count="5">
        <textField/>
        <textField/>
        <textField/>
        <textField/>
        <textField/>
      </textFields>
    </textPr>
  </connection>
  <connection id="4" name="FOIL.LINE.C-HELD.csv" type="6" refreshedVersion="0" background="1" saveData="1">
    <textPr fileType="mac" sourceFile="Macintosh:Users:jeromedrouin:Documents:Arduino:Projects:WORK_CapacitiveSensors:Weapon Data:Weapon Data - DISTRIBUTION:FOIL.LINE.C-HELD.csv" comma="1" semicolon="1">
      <textFields count="5">
        <textField/>
        <textField/>
        <textField/>
        <textField/>
        <textField/>
      </textFields>
    </textPr>
  </connection>
  <connection id="5" name="RAW.csv" type="6" refreshedVersion="0" background="1" saveData="1">
    <textPr fileType="mac" sourceFile="Macintosh:Users:jeromedrouin:Downloads:RAW.csv" tab="0" semicolon="1" qualifier="none">
      <textFields count="4">
        <textField/>
        <textField/>
        <textField/>
        <textField/>
      </textFields>
    </textPr>
  </connection>
  <connection id="6" name="RAW.txt" type="6" refreshedVersion="0" background="1" saveData="1">
    <textPr fileType="mac" sourceFile="Macintosh:Users:jeromedrouin:Downloads:RAW.txt" space="1" consecutive="1">
      <textFields count="4">
        <textField/>
        <textField/>
        <textField/>
        <textField/>
      </textFields>
    </textPr>
  </connection>
  <connection id="7" name="RAW.txt1" type="6" refreshedVersion="0" background="1" saveData="1">
    <textPr fileType="mac" sourceFile="Macintosh:Users:jeromedrouin:Downloads:RAW.txt" space="1" consecutive="1">
      <textFields count="4">
        <textField/>
        <textField/>
        <textField/>
        <textField/>
      </textFields>
    </textPr>
  </connection>
  <connection id="8" name="raw2.csv" type="6" refreshedVersion="0" background="1" saveData="1">
    <textPr fileType="mac" sourceFile="Macintosh:Users:jeromedrouin:Downloads:raw2.csv" tab="0" semicolon="1">
      <textFields count="4">
        <textField/>
        <textField/>
        <textField/>
        <textField/>
      </textFields>
    </textPr>
  </connection>
  <connection id="9" name="raw3.csv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0" name="raw3.csv1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1" name="raw3.csv2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2" name="raw3.csv3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3" name="raw4.csv" type="6" refreshedVersion="0" background="1" saveData="1">
    <textPr fileType="mac" sourceFile="Macintosh:Users:jeromedrouin:Downloads:raw4.csv" tab="0" semicolon="1">
      <textFields count="4">
        <textField/>
        <textField/>
        <textField/>
        <textField/>
      </textFields>
    </textPr>
  </connection>
  <connection id="14" name="raw4.csv1" type="6" refreshedVersion="0" background="1" saveData="1">
    <textPr fileType="mac" sourceFile="Macintosh:Users:jeromedrouin:Downloads:raw4.csv" tab="0" semicolon="1">
      <textFields count="4">
        <textField/>
        <textField/>
        <textField/>
        <textField/>
      </textFields>
    </textPr>
  </connection>
  <connection id="15" name="raw5.csv" type="6" refreshedVersion="0" background="1" saveData="1">
    <textPr fileType="mac" sourceFile="Macintosh:Users:jeromedrouin:Downloads:raw5.csv" tab="0" semicolon="1">
      <textFields count="4">
        <textField/>
        <textField/>
        <textField/>
        <textField/>
      </textFields>
    </textPr>
  </connection>
  <connection id="16" name="raw5.csv1" type="6" refreshedVersion="0" background="1" saveData="1">
    <textPr fileType="mac" sourceFile="Macintosh:Users:jeromedrouin:Downloads:raw5.csv" tab="0" semicolon="1">
      <textFields count="4">
        <textField/>
        <textField/>
        <textField/>
        <textField/>
      </textFields>
    </textPr>
  </connection>
  <connection id="17" name="Untitled.csv" type="6" refreshedVersion="0" background="1" saveData="1">
    <textPr fileType="mac" sourceFile="Macintosh:Users:jeromedrouin:Downloads:Untitled.csv" comma="1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<sst xmlns="http://schemas.openxmlformats.org/spreadsheetml/2006/main" count="9" uniqueCount="5">
  <si>
    <t>TABCDEFGHIJKLMNOPQRSTUVWXYZ</t>
  </si>
  <si>
    <r>
      <t>Theta(</t>
    </r>
    <r>
      <rPr>
        <sz val="12"/>
        <color theme="1"/>
        <rFont val="Symbol"/>
      </rPr>
      <t>Q</t>
    </r>
    <r>
      <rPr>
        <sz val="12"/>
        <color theme="1"/>
        <rFont val="Calibri"/>
        <family val="2"/>
        <charset val="129"/>
        <scheme val="minor"/>
      </rPr>
      <t>)</t>
    </r>
  </si>
  <si>
    <t>abcdefgh</t>
  </si>
  <si>
    <r>
      <t>Alpha(</t>
    </r>
    <r>
      <rPr>
        <sz val="12"/>
        <color theme="1"/>
        <rFont val="Symbol"/>
      </rPr>
      <t>a</t>
    </r>
    <r>
      <rPr>
        <sz val="12"/>
        <color theme="1"/>
        <rFont val="Calibri"/>
        <family val="2"/>
        <charset val="129"/>
        <scheme val="minor"/>
      </rPr>
      <t>)</t>
    </r>
  </si>
  <si>
    <t>Beta: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</si>
</sst>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0.000"/>
    <numFmt numFmtId="166" formatCode="0.000000"/>
  </numFmts>
  <fonts count="7" x14ac:knownFonts="1">
    <font>
      <sz val="12"/>
      <color theme="1"/>
      <name val="Calibri"/>
      <family val="2"/>
      <charset val="129"/>
      <scheme val="minor"/>
    </font>
    <font>
      <b/>
      <sz val="12"/>
      <color theme="1"/>
      <name val="Calibri"/>
      <family val="2"/>
      <charset val="129"/>
      <scheme val="minor"/>
    </font>
    <font>
      <sz val="12"/>
      <color theme="0"/>
      <name val="Calibri"/>
      <family val="2"/>
      <charset val="129"/>
      <scheme val="minor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  <font>
      <sz val="12"/>
      <color rgb="FF0000FF"/>
      <name val="Calibri"/>
      <scheme val="minor"/>
    </font>
    <font>
      <sz val="12"/>
      <color theme="1"/>
      <name val="Symbol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44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">
    <xf numFmtId="0" fontId="0" fillId="0" borderId="0" xfId="0"/>
    <xf numFmtId="0" fontId="2" fillId="2" borderId="0" xfId="0" applyFont="1" applyFill="1"/>
    <xf numFmtId="0" fontId="0" fillId="3" borderId="0" xfId="0" applyFill="1"/>
    <xf numFmtId="0" fontId="5" fillId="4" borderId="0" xfId="0" applyFont="1" applyFill="1"/>
    <xf numFmtId="165" fontId="1" fillId="0" borderId="0" xfId="0" applyNumberFormat="1" applyFont="1"/>
    <xf numFmtId="165" fontId="1" fillId="3" borderId="0" xfId="0" applyNumberFormat="1" applyFont="1" applyFill="1"/>
    <xf numFmtId="166" fontId="0" fillId="0" borderId="0" xfId="0" applyNumberFormat="1"/>
    <xf numFmtId="166" fontId="0" fillId="3" borderId="0" xfId="0" applyNumberFormat="1" applyFill="1"/>
    <xf numFmtId="0" fontId="6" fillId="0" borderId="0" xfId="0" applyFont="1"/>
  </cellXfs>
  <cellStyles count="44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607168107483068"/>
          <c:y val="0.0171981030780243"/>
          <c:w val="0.720589998403086"/>
          <c:h val="0.94254190618810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'Gamma_k,theta'!$H$4</c:f>
              <c:strCache>
                <c:ptCount val="1"/>
                <c:pt idx="0">
                  <c:v>G(a=3;b=0;t=1.5)-PDF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'Gamma_k,theta'!$C$5:$C$101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'Gamma_k,theta'!$H$5:$H$101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0.00518621226099525</c:v>
                </c:pt>
                <c:pt idx="3">
                  <c:v>0.0181553383908657</c:v>
                </c:pt>
                <c:pt idx="4">
                  <c:v>0.0357504024552341</c:v>
                </c:pt>
                <c:pt idx="5">
                  <c:v>0.0556227526646548</c:v>
                </c:pt>
                <c:pt idx="6">
                  <c:v>0.0760617954122358</c:v>
                </c:pt>
                <c:pt idx="7">
                  <c:v>0.0958568456783405</c:v>
                </c:pt>
                <c:pt idx="8">
                  <c:v>0.114185453763326</c:v>
                </c:pt>
                <c:pt idx="9">
                  <c:v>0.130523510277845</c:v>
                </c:pt>
                <c:pt idx="10">
                  <c:v>0.144573221717857</c:v>
                </c:pt>
                <c:pt idx="11">
                  <c:v>0.156205711475986</c:v>
                </c:pt>
                <c:pt idx="12">
                  <c:v>0.165415555868744</c:v>
                </c:pt>
                <c:pt idx="13">
                  <c:v>0.172285028688773</c:v>
                </c:pt>
                <c:pt idx="14">
                  <c:v>0.176956215305866</c:v>
                </c:pt>
                <c:pt idx="15">
                  <c:v>0.179609480602394</c:v>
                </c:pt>
                <c:pt idx="16">
                  <c:v>0.180447044315484</c:v>
                </c:pt>
                <c:pt idx="17">
                  <c:v>0.179680641348348</c:v>
                </c:pt>
                <c:pt idx="18">
                  <c:v>0.17752243062952</c:v>
                </c:pt>
                <c:pt idx="19">
                  <c:v>0.174178470315672</c:v>
                </c:pt>
                <c:pt idx="20">
                  <c:v>0.169844204752742</c:v>
                </c:pt>
                <c:pt idx="21">
                  <c:v>0.164701514009604</c:v>
                </c:pt>
                <c:pt idx="22">
                  <c:v>0.15891696366057</c:v>
                </c:pt>
                <c:pt idx="23">
                  <c:v>0.152640963911336</c:v>
                </c:pt>
                <c:pt idx="24">
                  <c:v>0.146007605734168</c:v>
                </c:pt>
                <c:pt idx="25">
                  <c:v>0.13913498957949</c:v>
                </c:pt>
                <c:pt idx="26">
                  <c:v>0.13212590128612</c:v>
                </c:pt>
                <c:pt idx="27">
                  <c:v>0.12506872154662</c:v>
                </c:pt>
                <c:pt idx="28">
                  <c:v>0.118038480972304</c:v>
                </c:pt>
                <c:pt idx="29">
                  <c:v>0.111097993507789</c:v>
                </c:pt>
                <c:pt idx="30">
                  <c:v>0.104299017553807</c:v>
                </c:pt>
                <c:pt idx="31">
                  <c:v>0.0976834074065822</c:v>
                </c:pt>
                <c:pt idx="32">
                  <c:v>0.0912842281247785</c:v>
                </c:pt>
                <c:pt idx="33">
                  <c:v>0.0851268151986864</c:v>
                </c:pt>
                <c:pt idx="34">
                  <c:v>0.0792297668411349</c:v>
                </c:pt>
                <c:pt idx="35">
                  <c:v>0.0736058616927808</c:v>
                </c:pt>
                <c:pt idx="36">
                  <c:v>0.0682628985219651</c:v>
                </c:pt>
                <c:pt idx="37">
                  <c:v>0.0632044573364737</c:v>
                </c:pt>
                <c:pt idx="38">
                  <c:v>0.0584305834041578</c:v>
                </c:pt>
                <c:pt idx="39">
                  <c:v>0.0539383971591736</c:v>
                </c:pt>
                <c:pt idx="40">
                  <c:v>0.0497226339791237</c:v>
                </c:pt>
                <c:pt idx="41">
                  <c:v>0.0457761184600314</c:v>
                </c:pt>
                <c:pt idx="42">
                  <c:v>0.0420901781753007</c:v>
                </c:pt>
                <c:pt idx="43">
                  <c:v>0.0386550020496349</c:v>
                </c:pt>
                <c:pt idx="44">
                  <c:v>0.0354599484637935</c:v>
                </c:pt>
                <c:pt idx="45">
                  <c:v>0.0324938080744892</c:v>
                </c:pt>
                <c:pt idx="46">
                  <c:v>0.0297450261199963</c:v>
                </c:pt>
                <c:pt idx="47">
                  <c:v>0.0272018887131405</c:v>
                </c:pt>
                <c:pt idx="48">
                  <c:v>0.0248526773202076</c:v>
                </c:pt>
                <c:pt idx="49">
                  <c:v>0.0226857953030681</c:v>
                </c:pt>
                <c:pt idx="50">
                  <c:v>0.0206898700746557</c:v>
                </c:pt>
                <c:pt idx="51">
                  <c:v>0.0188538340939231</c:v>
                </c:pt>
                <c:pt idx="52">
                  <c:v>0.0171669876121146</c:v>
                </c:pt>
                <c:pt idx="53">
                  <c:v>0.0156190457822212</c:v>
                </c:pt>
                <c:pt idx="54">
                  <c:v>0.0142001724608973</c:v>
                </c:pt>
                <c:pt idx="55">
                  <c:v>0.0129010027687491</c:v>
                </c:pt>
                <c:pt idx="56">
                  <c:v>0.0117126562316968</c:v>
                </c:pt>
                <c:pt idx="57">
                  <c:v>0.010626742103295</c:v>
                </c:pt>
                <c:pt idx="58">
                  <c:v>0.0096353582651766</c:v>
                </c:pt>
                <c:pt idx="59">
                  <c:v>0.00873108491951887</c:v>
                </c:pt>
                <c:pt idx="60">
                  <c:v>0.00790697412268867</c:v>
                </c:pt>
                <c:pt idx="61">
                  <c:v>0.00715653606192029</c:v>
                </c:pt>
                <c:pt idx="62">
                  <c:v>0.0064737228458273</c:v>
                </c:pt>
                <c:pt idx="63">
                  <c:v>0.00585291046350391</c:v>
                </c:pt>
                <c:pt idx="64">
                  <c:v>0.00528887946468654</c:v>
                </c:pt>
                <c:pt idx="65">
                  <c:v>0.00477679482369451</c:v>
                </c:pt>
                <c:pt idx="66">
                  <c:v>0.00431218537146327</c:v>
                </c:pt>
                <c:pt idx="67">
                  <c:v>0.00389092311179793</c:v>
                </c:pt>
                <c:pt idx="68">
                  <c:v>0.0035092026789454</c:v>
                </c:pt>
                <c:pt idx="69">
                  <c:v>0.00316352114272263</c:v>
                </c:pt>
                <c:pt idx="70">
                  <c:v>0.00285065832383055</c:v>
                </c:pt>
                <c:pt idx="71">
                  <c:v>0.0025676577447907</c:v>
                </c:pt>
                <c:pt idx="72">
                  <c:v>0.00231180831039831</c:v>
                </c:pt>
                <c:pt idx="73">
                  <c:v>0.00208062678499905</c:v>
                </c:pt>
                <c:pt idx="74">
                  <c:v>0.00187184111164081</c:v>
                </c:pt>
                <c:pt idx="75">
                  <c:v>0.00168337459966504</c:v>
                </c:pt>
                <c:pt idx="76">
                  <c:v>0.00151333099208285</c:v>
                </c:pt>
                <c:pt idx="77">
                  <c:v>0.00135998041168146</c:v>
                </c:pt>
                <c:pt idx="78">
                  <c:v>0.00122174617483146</c:v>
                </c:pt>
                <c:pt idx="79">
                  <c:v>0.00109719245406299</c:v>
                </c:pt>
                <c:pt idx="80">
                  <c:v>0.000985012764343369</c:v>
                </c:pt>
                <c:pt idx="81">
                  <c:v>0.000884019243346956</c:v>
                </c:pt>
                <c:pt idx="82">
                  <c:v>0.000793132692626376</c:v>
                </c:pt>
                <c:pt idx="83">
                  <c:v>0.000711373344264901</c:v>
                </c:pt>
                <c:pt idx="84">
                  <c:v>0.000637852316135707</c:v>
                </c:pt>
                <c:pt idx="85">
                  <c:v>0.000571763718159682</c:v>
                </c:pt>
                <c:pt idx="86">
                  <c:v>0.000512377371807014</c:v>
                </c:pt>
                <c:pt idx="87">
                  <c:v>0.000459032105414855</c:v>
                </c:pt>
                <c:pt idx="88">
                  <c:v>0.000411129588596499</c:v>
                </c:pt>
                <c:pt idx="89">
                  <c:v>0.0003681286700143</c:v>
                </c:pt>
                <c:pt idx="90">
                  <c:v>0.00032954018400859</c:v>
                </c:pt>
                <c:pt idx="91">
                  <c:v>0.000294922192959759</c:v>
                </c:pt>
                <c:pt idx="92">
                  <c:v>0.000263875633760836</c:v>
                </c:pt>
                <c:pt idx="93">
                  <c:v>0.000236040338352748</c:v>
                </c:pt>
                <c:pt idx="94">
                  <c:v>0.000211091399890234</c:v>
                </c:pt>
                <c:pt idx="95">
                  <c:v>0.000188735857735673</c:v>
                </c:pt>
                <c:pt idx="96">
                  <c:v>0.000168709676098737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'Gamma_k,theta'!$K$4</c:f>
              <c:strCache>
                <c:ptCount val="1"/>
                <c:pt idx="0">
                  <c:v>G(a=4;b=0;t=1.5)-PDF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'Gamma_k,theta'!$C$5:$C$101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'Gamma_k,theta'!$K$5:$K$101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0.0002304983227109</c:v>
                </c:pt>
                <c:pt idx="3">
                  <c:v>0.00161380785696584</c:v>
                </c:pt>
                <c:pt idx="4">
                  <c:v>0.00476672032736455</c:v>
                </c:pt>
                <c:pt idx="5">
                  <c:v>0.0098884893626053</c:v>
                </c:pt>
                <c:pt idx="6">
                  <c:v>0.0169026212027191</c:v>
                </c:pt>
                <c:pt idx="7">
                  <c:v>0.0255618255142241</c:v>
                </c:pt>
                <c:pt idx="8">
                  <c:v>0.0355243633930348</c:v>
                </c:pt>
                <c:pt idx="9">
                  <c:v>0.0464083592099005</c:v>
                </c:pt>
                <c:pt idx="10">
                  <c:v>0.0578292886871428</c:v>
                </c:pt>
                <c:pt idx="11">
                  <c:v>0.0694247606559939</c:v>
                </c:pt>
                <c:pt idx="12">
                  <c:v>0.080869827313608</c:v>
                </c:pt>
                <c:pt idx="13">
                  <c:v>0.0918853486340121</c:v>
                </c:pt>
                <c:pt idx="14">
                  <c:v>0.102241368843389</c:v>
                </c:pt>
                <c:pt idx="15">
                  <c:v>0.111757010152601</c:v>
                </c:pt>
                <c:pt idx="16">
                  <c:v>0.120298029543656</c:v>
                </c:pt>
                <c:pt idx="17">
                  <c:v>0.127772900514381</c:v>
                </c:pt>
                <c:pt idx="18">
                  <c:v>0.13412805869786</c:v>
                </c:pt>
                <c:pt idx="19">
                  <c:v>0.139342776252538</c:v>
                </c:pt>
                <c:pt idx="20">
                  <c:v>0.143423995124538</c:v>
                </c:pt>
                <c:pt idx="21">
                  <c:v>0.146401345786314</c:v>
                </c:pt>
                <c:pt idx="22">
                  <c:v>0.148322499416532</c:v>
                </c:pt>
                <c:pt idx="23">
                  <c:v>0.149248942491084</c:v>
                </c:pt>
                <c:pt idx="24">
                  <c:v>0.149252219194927</c:v>
                </c:pt>
                <c:pt idx="25">
                  <c:v>0.148410655551456</c:v>
                </c:pt>
                <c:pt idx="26">
                  <c:v>0.146806556984578</c:v>
                </c:pt>
                <c:pt idx="27">
                  <c:v>0.144523856009427</c:v>
                </c:pt>
                <c:pt idx="28">
                  <c:v>0.141646177166765</c:v>
                </c:pt>
                <c:pt idx="29">
                  <c:v>0.138255280809693</c:v>
                </c:pt>
                <c:pt idx="30">
                  <c:v>0.134429844847129</c:v>
                </c:pt>
                <c:pt idx="31">
                  <c:v>0.130244543208776</c:v>
                </c:pt>
                <c:pt idx="32">
                  <c:v>0.125769380971917</c:v>
                </c:pt>
                <c:pt idx="33">
                  <c:v>0.121069248282576</c:v>
                </c:pt>
                <c:pt idx="34">
                  <c:v>0.116203658033665</c:v>
                </c:pt>
                <c:pt idx="35">
                  <c:v>0.111226635446869</c:v>
                </c:pt>
                <c:pt idx="36">
                  <c:v>0.106186731034168</c:v>
                </c:pt>
                <c:pt idx="37">
                  <c:v>0.101127131738358</c:v>
                </c:pt>
                <c:pt idx="38">
                  <c:v>0.0960858482646151</c:v>
                </c:pt>
                <c:pt idx="39">
                  <c:v>0.0910959596466043</c:v>
                </c:pt>
                <c:pt idx="40">
                  <c:v>0.0861858988971478</c:v>
                </c:pt>
                <c:pt idx="41">
                  <c:v>0.0813797661511669</c:v>
                </c:pt>
                <c:pt idx="42">
                  <c:v>0.0766976580083258</c:v>
                </c:pt>
                <c:pt idx="43">
                  <c:v>0.0721560038259851</c:v>
                </c:pt>
                <c:pt idx="44">
                  <c:v>0.0677679015085832</c:v>
                </c:pt>
                <c:pt idx="45">
                  <c:v>0.0635434469012233</c:v>
                </c:pt>
                <c:pt idx="46">
                  <c:v>0.0594900522399926</c:v>
                </c:pt>
                <c:pt idx="47">
                  <c:v>0.0556127502579762</c:v>
                </c:pt>
                <c:pt idx="48">
                  <c:v>0.0519144815133225</c:v>
                </c:pt>
                <c:pt idx="49">
                  <c:v>0.048396363313212</c:v>
                </c:pt>
                <c:pt idx="50">
                  <c:v>0.0450579392736946</c:v>
                </c:pt>
                <c:pt idx="51">
                  <c:v>0.0418974090976069</c:v>
                </c:pt>
                <c:pt idx="52">
                  <c:v>0.0389118385874597</c:v>
                </c:pt>
                <c:pt idx="53">
                  <c:v>0.0360973502522445</c:v>
                </c:pt>
                <c:pt idx="54">
                  <c:v>0.0334492951301137</c:v>
                </c:pt>
                <c:pt idx="55">
                  <c:v>0.0309624066449977</c:v>
                </c:pt>
                <c:pt idx="56">
                  <c:v>0.0286309374552588</c:v>
                </c:pt>
                <c:pt idx="57">
                  <c:v>0.0264487803459787</c:v>
                </c:pt>
                <c:pt idx="58">
                  <c:v>0.0244095742717807</c:v>
                </c:pt>
                <c:pt idx="59">
                  <c:v>0.0225067966814264</c:v>
                </c:pt>
                <c:pt idx="60">
                  <c:v>0.0207338432550503</c:v>
                </c:pt>
                <c:pt idx="61">
                  <c:v>0.0190840961651208</c:v>
                </c:pt>
                <c:pt idx="62">
                  <c:v>0.0175509819375762</c:v>
                </c:pt>
                <c:pt idx="63">
                  <c:v>0.0161280199438774</c:v>
                </c:pt>
                <c:pt idx="64">
                  <c:v>0.0148088625011223</c:v>
                </c:pt>
                <c:pt idx="65">
                  <c:v>0.0135873274985088</c:v>
                </c:pt>
                <c:pt idx="66">
                  <c:v>0.0124574244064494</c:v>
                </c:pt>
                <c:pt idx="67">
                  <c:v>0.0114133744612739</c:v>
                </c:pt>
                <c:pt idx="68">
                  <c:v>0.0104496257550819</c:v>
                </c:pt>
                <c:pt idx="69">
                  <c:v>0.00956086389800616</c:v>
                </c:pt>
                <c:pt idx="70">
                  <c:v>0.00874201885974702</c:v>
                </c:pt>
                <c:pt idx="71">
                  <c:v>0.00798826853934884</c:v>
                </c:pt>
                <c:pt idx="72">
                  <c:v>0.00729503955725688</c:v>
                </c:pt>
                <c:pt idx="73">
                  <c:v>0.00665800571199695</c:v>
                </c:pt>
                <c:pt idx="74">
                  <c:v>0.00607308449554574</c:v>
                </c:pt>
                <c:pt idx="75">
                  <c:v>0.00553643201667614</c:v>
                </c:pt>
                <c:pt idx="76">
                  <c:v>0.00504443664027615</c:v>
                </c:pt>
                <c:pt idx="77">
                  <c:v>0.00459371161279071</c:v>
                </c:pt>
                <c:pt idx="78">
                  <c:v>0.00418108690942321</c:v>
                </c:pt>
                <c:pt idx="79">
                  <c:v>0.00380360050741837</c:v>
                </c:pt>
                <c:pt idx="80">
                  <c:v>0.00345848926147227</c:v>
                </c:pt>
                <c:pt idx="81">
                  <c:v>0.00314317953190028</c:v>
                </c:pt>
                <c:pt idx="82">
                  <c:v>0.00285527769345495</c:v>
                </c:pt>
                <c:pt idx="83">
                  <c:v>0.00259256063243208</c:v>
                </c:pt>
                <c:pt idx="84">
                  <c:v>0.00235296632174505</c:v>
                </c:pt>
                <c:pt idx="85">
                  <c:v>0.00213458454779614</c:v>
                </c:pt>
                <c:pt idx="86">
                  <c:v>0.00193564784904872</c:v>
                </c:pt>
                <c:pt idx="87">
                  <c:v>0.00175452271403011</c:v>
                </c:pt>
                <c:pt idx="88">
                  <c:v>0.00158970107590646</c:v>
                </c:pt>
                <c:pt idx="89">
                  <c:v>0.00143979213161148</c:v>
                </c:pt>
                <c:pt idx="90">
                  <c:v>0.00130351450563398</c:v>
                </c:pt>
                <c:pt idx="91">
                  <c:v>0.00117968877183904</c:v>
                </c:pt>
                <c:pt idx="92">
                  <c:v>0.00106723034098827</c:v>
                </c:pt>
                <c:pt idx="93">
                  <c:v>0.000965142716820123</c:v>
                </c:pt>
                <c:pt idx="94">
                  <c:v>0.000872511119546299</c:v>
                </c:pt>
                <c:pt idx="95">
                  <c:v>0.000788496472317921</c:v>
                </c:pt>
                <c:pt idx="96">
                  <c:v>0.000712329743528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'Gamma_k,theta'!$N$4</c:f>
              <c:strCache>
                <c:ptCount val="1"/>
                <c:pt idx="0">
                  <c:v>G(a=5;b=0;t=1.5)-PDF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'Gamma_k,theta'!$C$5:$C$101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'Gamma_k,theta'!$N$5:$N$101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7.68327742369666E-6</c:v>
                </c:pt>
                <c:pt idx="3">
                  <c:v>0.00010758719046439</c:v>
                </c:pt>
                <c:pt idx="4">
                  <c:v>0.000476672032736455</c:v>
                </c:pt>
                <c:pt idx="5">
                  <c:v>0.00131846524834737</c:v>
                </c:pt>
                <c:pt idx="6">
                  <c:v>0.00281710353378651</c:v>
                </c:pt>
                <c:pt idx="7">
                  <c:v>0.00511236510284483</c:v>
                </c:pt>
                <c:pt idx="8">
                  <c:v>0.00828901812504146</c:v>
                </c:pt>
                <c:pt idx="9">
                  <c:v>0.0123755624559735</c:v>
                </c:pt>
                <c:pt idx="10">
                  <c:v>0.0173487866061428</c:v>
                </c:pt>
                <c:pt idx="11">
                  <c:v>0.0231415868853313</c:v>
                </c:pt>
                <c:pt idx="12">
                  <c:v>0.0296522700149896</c:v>
                </c:pt>
                <c:pt idx="13">
                  <c:v>0.0367541394536048</c:v>
                </c:pt>
                <c:pt idx="14">
                  <c:v>0.0443045931654686</c:v>
                </c:pt>
                <c:pt idx="15">
                  <c:v>0.0521532714045469</c:v>
                </c:pt>
                <c:pt idx="16">
                  <c:v>0.0601490147718279</c:v>
                </c:pt>
                <c:pt idx="17">
                  <c:v>0.0681455469410032</c:v>
                </c:pt>
                <c:pt idx="18">
                  <c:v>0.0760058999287872</c:v>
                </c:pt>
                <c:pt idx="19">
                  <c:v>0.0836056657515226</c:v>
                </c:pt>
                <c:pt idx="20">
                  <c:v>0.0908351969122073</c:v>
                </c:pt>
                <c:pt idx="21">
                  <c:v>0.0976008971908763</c:v>
                </c:pt>
                <c:pt idx="22">
                  <c:v>0.103825749591572</c:v>
                </c:pt>
                <c:pt idx="23">
                  <c:v>0.109449224493462</c:v>
                </c:pt>
                <c:pt idx="24">
                  <c:v>0.114426701382778</c:v>
                </c:pt>
                <c:pt idx="25">
                  <c:v>0.118728524441165</c:v>
                </c:pt>
                <c:pt idx="26">
                  <c:v>0.122338797487148</c:v>
                </c:pt>
                <c:pt idx="27">
                  <c:v>0.125254008541504</c:v>
                </c:pt>
                <c:pt idx="28">
                  <c:v>0.127481559450088</c:v>
                </c:pt>
                <c:pt idx="29">
                  <c:v>0.129038262089047</c:v>
                </c:pt>
                <c:pt idx="30">
                  <c:v>0.129948850018892</c:v>
                </c:pt>
                <c:pt idx="31">
                  <c:v>0.130244543208776</c:v>
                </c:pt>
                <c:pt idx="32">
                  <c:v>0.129961693670981</c:v>
                </c:pt>
                <c:pt idx="33">
                  <c:v>0.129140531501415</c:v>
                </c:pt>
                <c:pt idx="34">
                  <c:v>0.127824023837031</c:v>
                </c:pt>
                <c:pt idx="35">
                  <c:v>0.126056853506451</c:v>
                </c:pt>
                <c:pt idx="36">
                  <c:v>0.123884519539863</c:v>
                </c:pt>
                <c:pt idx="37">
                  <c:v>0.12135255808603</c:v>
                </c:pt>
                <c:pt idx="38">
                  <c:v>0.118505879526359</c:v>
                </c:pt>
                <c:pt idx="39">
                  <c:v>0.115388215552366</c:v>
                </c:pt>
                <c:pt idx="40">
                  <c:v>0.112041668566292</c:v>
                </c:pt>
                <c:pt idx="41">
                  <c:v>0.108506354868223</c:v>
                </c:pt>
                <c:pt idx="42">
                  <c:v>0.104820132611379</c:v>
                </c:pt>
                <c:pt idx="43">
                  <c:v>0.101018405356379</c:v>
                </c:pt>
                <c:pt idx="44">
                  <c:v>0.0971339921623025</c:v>
                </c:pt>
                <c:pt idx="45">
                  <c:v>0.0931970554551275</c:v>
                </c:pt>
                <c:pt idx="46">
                  <c:v>0.0892350783599889</c:v>
                </c:pt>
                <c:pt idx="47">
                  <c:v>0.0852728837288969</c:v>
                </c:pt>
                <c:pt idx="48">
                  <c:v>0.0813326877042053</c:v>
                </c:pt>
                <c:pt idx="49">
                  <c:v>0.0774341813011392</c:v>
                </c:pt>
                <c:pt idx="50">
                  <c:v>0.0735946341470344</c:v>
                </c:pt>
                <c:pt idx="51">
                  <c:v>0.0698290151626782</c:v>
                </c:pt>
                <c:pt idx="52">
                  <c:v>0.0661501255986815</c:v>
                </c:pt>
                <c:pt idx="53">
                  <c:v>0.0625687404372238</c:v>
                </c:pt>
                <c:pt idx="54">
                  <c:v>0.0590937547298674</c:v>
                </c:pt>
                <c:pt idx="55">
                  <c:v>0.0557323319609959</c:v>
                </c:pt>
                <c:pt idx="56">
                  <c:v>0.0524900520013078</c:v>
                </c:pt>
                <c:pt idx="57">
                  <c:v>0.0493710566458269</c:v>
                </c:pt>
                <c:pt idx="58">
                  <c:v>0.0463781911163833</c:v>
                </c:pt>
                <c:pt idx="59">
                  <c:v>0.0435131402507577</c:v>
                </c:pt>
                <c:pt idx="60">
                  <c:v>0.0407765584015988</c:v>
                </c:pt>
                <c:pt idx="61">
                  <c:v>0.0381681923302415</c:v>
                </c:pt>
                <c:pt idx="62">
                  <c:v>0.035686996606405</c:v>
                </c:pt>
                <c:pt idx="63">
                  <c:v>0.0333312412173467</c:v>
                </c:pt>
                <c:pt idx="64">
                  <c:v>0.0310986112523568</c:v>
                </c:pt>
                <c:pt idx="65">
                  <c:v>0.0289862986634854</c:v>
                </c:pt>
                <c:pt idx="66">
                  <c:v>0.0269910862139738</c:v>
                </c:pt>
                <c:pt idx="67">
                  <c:v>0.0251094238148026</c:v>
                </c:pt>
                <c:pt idx="68">
                  <c:v>0.0233374975196828</c:v>
                </c:pt>
                <c:pt idx="69">
                  <c:v>0.0216712915021473</c:v>
                </c:pt>
                <c:pt idx="70">
                  <c:v>0.0201066433774181</c:v>
                </c:pt>
                <c:pt idx="71">
                  <c:v>0.0186392932584806</c:v>
                </c:pt>
                <c:pt idx="72">
                  <c:v>0.0172649269521746</c:v>
                </c:pt>
                <c:pt idx="73">
                  <c:v>0.0159792137087927</c:v>
                </c:pt>
                <c:pt idx="74">
                  <c:v>0.0147778389391613</c:v>
                </c:pt>
                <c:pt idx="75">
                  <c:v>0.0136565323078011</c:v>
                </c:pt>
                <c:pt idx="76">
                  <c:v>0.0126110916006903</c:v>
                </c:pt>
                <c:pt idx="77">
                  <c:v>0.0116374027524031</c:v>
                </c:pt>
                <c:pt idx="78">
                  <c:v>0.0107314564008529</c:v>
                </c:pt>
                <c:pt idx="79">
                  <c:v>0.00988936131928775</c:v>
                </c:pt>
                <c:pt idx="80">
                  <c:v>0.00910735505521029</c:v>
                </c:pt>
                <c:pt idx="81">
                  <c:v>0.00838181208506741</c:v>
                </c:pt>
                <c:pt idx="82">
                  <c:v>0.00770924977232835</c:v>
                </c:pt>
                <c:pt idx="83">
                  <c:v>0.00708633239531434</c:v>
                </c:pt>
                <c:pt idx="84">
                  <c:v>0.00650987349016129</c:v>
                </c:pt>
                <c:pt idx="85">
                  <c:v>0.00597683673382918</c:v>
                </c:pt>
                <c:pt idx="86">
                  <c:v>0.0054843355723047</c:v>
                </c:pt>
                <c:pt idx="87">
                  <c:v>0.00502963178021964</c:v>
                </c:pt>
                <c:pt idx="88">
                  <c:v>0.00461013312012873</c:v>
                </c:pt>
                <c:pt idx="89">
                  <c:v>0.00422339025272701</c:v>
                </c:pt>
                <c:pt idx="90">
                  <c:v>0.00386709303338079</c:v>
                </c:pt>
                <c:pt idx="91">
                  <c:v>0.0035390663155171</c:v>
                </c:pt>
                <c:pt idx="92">
                  <c:v>0.00323726536766441</c:v>
                </c:pt>
                <c:pt idx="93">
                  <c:v>0.00295977099824837</c:v>
                </c:pt>
                <c:pt idx="94">
                  <c:v>0.00270478447059352</c:v>
                </c:pt>
                <c:pt idx="95">
                  <c:v>0.00247062227992948</c:v>
                </c:pt>
                <c:pt idx="96">
                  <c:v>0.00225571085450533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'Gamma_k,theta'!$Q$4</c:f>
              <c:strCache>
                <c:ptCount val="1"/>
                <c:pt idx="0">
                  <c:v>G(a=6;b=0;t=1.5)-PDF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'Gamma_k,theta'!$C$5:$C$101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'Gamma_k,theta'!$Q$5:$Q$101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2.04887397965244E-7</c:v>
                </c:pt>
                <c:pt idx="3">
                  <c:v>5.73798349143411E-6</c:v>
                </c:pt>
                <c:pt idx="4">
                  <c:v>3.81337626189164E-5</c:v>
                </c:pt>
                <c:pt idx="5">
                  <c:v>0.000140636293157053</c:v>
                </c:pt>
                <c:pt idx="6">
                  <c:v>0.000375613804504868</c:v>
                </c:pt>
                <c:pt idx="7">
                  <c:v>0.000817978416455172</c:v>
                </c:pt>
                <c:pt idx="8">
                  <c:v>0.00154728338334107</c:v>
                </c:pt>
                <c:pt idx="9">
                  <c:v>0.00264011999060767</c:v>
                </c:pt>
                <c:pt idx="10">
                  <c:v>0.00416370878547428</c:v>
                </c:pt>
                <c:pt idx="11">
                  <c:v>0.00617108983608835</c:v>
                </c:pt>
                <c:pt idx="12">
                  <c:v>0.00869799920439695</c:v>
                </c:pt>
                <c:pt idx="13">
                  <c:v>0.0117613246251535</c:v>
                </c:pt>
                <c:pt idx="14">
                  <c:v>0.0153589256306958</c:v>
                </c:pt>
                <c:pt idx="15">
                  <c:v>0.0194705546576975</c:v>
                </c:pt>
                <c:pt idx="16">
                  <c:v>0.0240596059087312</c:v>
                </c:pt>
                <c:pt idx="17">
                  <c:v>0.0290754333614947</c:v>
                </c:pt>
                <c:pt idx="18">
                  <c:v>0.0344560079677169</c:v>
                </c:pt>
                <c:pt idx="19">
                  <c:v>0.0401307195607309</c:v>
                </c:pt>
                <c:pt idx="20">
                  <c:v>0.0460231664355184</c:v>
                </c:pt>
                <c:pt idx="21">
                  <c:v>0.052053811835134</c:v>
                </c:pt>
                <c:pt idx="22">
                  <c:v>0.0581424197712804</c:v>
                </c:pt>
                <c:pt idx="23">
                  <c:v>0.064210211702831</c:v>
                </c:pt>
                <c:pt idx="24">
                  <c:v>0.0701817101814369</c:v>
                </c:pt>
                <c:pt idx="25">
                  <c:v>0.0759862556423455</c:v>
                </c:pt>
                <c:pt idx="26">
                  <c:v>0.0815591983247655</c:v>
                </c:pt>
                <c:pt idx="27">
                  <c:v>0.0868427792554426</c:v>
                </c:pt>
                <c:pt idx="28">
                  <c:v>0.0917867228040635</c:v>
                </c:pt>
                <c:pt idx="29">
                  <c:v>0.0963485690264882</c:v>
                </c:pt>
                <c:pt idx="30">
                  <c:v>0.100493777347943</c:v>
                </c:pt>
                <c:pt idx="31">
                  <c:v>0.104195634567021</c:v>
                </c:pt>
                <c:pt idx="32">
                  <c:v>0.107435000101344</c:v>
                </c:pt>
                <c:pt idx="33">
                  <c:v>0.110199920214541</c:v>
                </c:pt>
                <c:pt idx="34">
                  <c:v>0.112485140976587</c:v>
                </c:pt>
                <c:pt idx="35">
                  <c:v>0.114291547179183</c:v>
                </c:pt>
                <c:pt idx="36">
                  <c:v>0.115625551570539</c:v>
                </c:pt>
                <c:pt idx="37">
                  <c:v>0.116498455762589</c:v>
                </c:pt>
                <c:pt idx="38">
                  <c:v>0.116925801132674</c:v>
                </c:pt>
                <c:pt idx="39">
                  <c:v>0.116926725093064</c:v>
                </c:pt>
                <c:pt idx="40">
                  <c:v>0.116523335308944</c:v>
                </c:pt>
                <c:pt idx="41">
                  <c:v>0.115740111859437</c:v>
                </c:pt>
                <c:pt idx="42">
                  <c:v>0.114603344988441</c:v>
                </c:pt>
                <c:pt idx="43">
                  <c:v>0.113140613999145</c:v>
                </c:pt>
                <c:pt idx="44">
                  <c:v>0.111380311012774</c:v>
                </c:pt>
                <c:pt idx="45">
                  <c:v>0.109351211734016</c:v>
                </c:pt>
                <c:pt idx="46">
                  <c:v>0.107082094031987</c:v>
                </c:pt>
                <c:pt idx="47">
                  <c:v>0.10460140404078</c:v>
                </c:pt>
                <c:pt idx="48">
                  <c:v>0.101936968589271</c:v>
                </c:pt>
                <c:pt idx="49">
                  <c:v>0.0991157520654582</c:v>
                </c:pt>
                <c:pt idx="50">
                  <c:v>0.0961636552854582</c:v>
                </c:pt>
                <c:pt idx="51">
                  <c:v>0.0931053535502375</c:v>
                </c:pt>
                <c:pt idx="52">
                  <c:v>0.0899641708142068</c:v>
                </c:pt>
                <c:pt idx="53">
                  <c:v>0.0867619867396169</c:v>
                </c:pt>
                <c:pt idx="54">
                  <c:v>0.0835191733515459</c:v>
                </c:pt>
                <c:pt idx="55">
                  <c:v>0.080254558023834</c:v>
                </c:pt>
                <c:pt idx="56">
                  <c:v>0.076985409601918</c:v>
                </c:pt>
                <c:pt idx="57">
                  <c:v>0.0737274445911014</c:v>
                </c:pt>
                <c:pt idx="58">
                  <c:v>0.0704948504969026</c:v>
                </c:pt>
                <c:pt idx="59">
                  <c:v>0.0673003235878385</c:v>
                </c:pt>
                <c:pt idx="60">
                  <c:v>0.0641551185518488</c:v>
                </c:pt>
                <c:pt idx="61">
                  <c:v>0.0610691077283863</c:v>
                </c:pt>
                <c:pt idx="62">
                  <c:v>0.0580508478130853</c:v>
                </c:pt>
                <c:pt idx="63">
                  <c:v>0.0551076521460131</c:v>
                </c:pt>
                <c:pt idx="64">
                  <c:v>0.0522456669039594</c:v>
                </c:pt>
                <c:pt idx="65">
                  <c:v>0.0494699497190151</c:v>
                </c:pt>
                <c:pt idx="66">
                  <c:v>0.0467845494375545</c:v>
                </c:pt>
                <c:pt idx="67">
                  <c:v>0.0441925859140525</c:v>
                </c:pt>
                <c:pt idx="68">
                  <c:v>0.0416963289018332</c:v>
                </c:pt>
                <c:pt idx="69">
                  <c:v>0.039297275257227</c:v>
                </c:pt>
                <c:pt idx="70">
                  <c:v>0.0369962238144493</c:v>
                </c:pt>
                <c:pt idx="71">
                  <c:v>0.0347933474158304</c:v>
                </c:pt>
                <c:pt idx="72">
                  <c:v>0.0326882616961172</c:v>
                </c:pt>
                <c:pt idx="73">
                  <c:v>0.0306800903208819</c:v>
                </c:pt>
                <c:pt idx="74">
                  <c:v>0.0287675264682339</c:v>
                </c:pt>
                <c:pt idx="75">
                  <c:v>0.0269488904207275</c:v>
                </c:pt>
                <c:pt idx="76">
                  <c:v>0.0252221832013807</c:v>
                </c:pt>
                <c:pt idx="77">
                  <c:v>0.0235851362448703</c:v>
                </c:pt>
                <c:pt idx="78">
                  <c:v>0.0220352571430846</c:v>
                </c:pt>
                <c:pt idx="79">
                  <c:v>0.0205698715441185</c:v>
                </c:pt>
                <c:pt idx="80">
                  <c:v>0.0191861613163096</c:v>
                </c:pt>
                <c:pt idx="81">
                  <c:v>0.0178811991148104</c:v>
                </c:pt>
                <c:pt idx="82">
                  <c:v>0.0166519795082292</c:v>
                </c:pt>
                <c:pt idx="83">
                  <c:v>0.015495446837754</c:v>
                </c:pt>
                <c:pt idx="84">
                  <c:v>0.014408519991557</c:v>
                </c:pt>
                <c:pt idx="85">
                  <c:v>0.0133881142837773</c:v>
                </c:pt>
                <c:pt idx="86">
                  <c:v>0.0124311606305573</c:v>
                </c:pt>
                <c:pt idx="87">
                  <c:v>0.0115346222159703</c:v>
                </c:pt>
                <c:pt idx="88">
                  <c:v>0.0106955088386986</c:v>
                </c:pt>
                <c:pt idx="89">
                  <c:v>0.00991088912639937</c:v>
                </c:pt>
                <c:pt idx="90">
                  <c:v>0.00917790079922372</c:v>
                </c:pt>
                <c:pt idx="91">
                  <c:v>0.00849375915724102</c:v>
                </c:pt>
                <c:pt idx="92">
                  <c:v>0.00785576395886563</c:v>
                </c:pt>
                <c:pt idx="93">
                  <c:v>0.007261304849036</c:v>
                </c:pt>
                <c:pt idx="94">
                  <c:v>0.00670786548707193</c:v>
                </c:pt>
                <c:pt idx="95">
                  <c:v>0.00619302651502321</c:v>
                </c:pt>
                <c:pt idx="96">
                  <c:v>0.00571446749808016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'Gamma_k,theta'!$E$4</c:f>
              <c:strCache>
                <c:ptCount val="1"/>
                <c:pt idx="0">
                  <c:v>G(a=2;b=0;t=2)-PDF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'Gamma_k,theta'!$C$5:$C$101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'Gamma_k,theta'!$E$5:$E$101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0.045241870901798</c:v>
                </c:pt>
                <c:pt idx="3">
                  <c:v>0.0818730753077982</c:v>
                </c:pt>
                <c:pt idx="4">
                  <c:v>0.111122733102258</c:v>
                </c:pt>
                <c:pt idx="5">
                  <c:v>0.134064009207128</c:v>
                </c:pt>
                <c:pt idx="6">
                  <c:v>0.151632664928158</c:v>
                </c:pt>
                <c:pt idx="7">
                  <c:v>0.164643490828208</c:v>
                </c:pt>
                <c:pt idx="8">
                  <c:v>0.173804856326993</c:v>
                </c:pt>
                <c:pt idx="9">
                  <c:v>0.179731585646889</c:v>
                </c:pt>
                <c:pt idx="10">
                  <c:v>0.18295634688327</c:v>
                </c:pt>
                <c:pt idx="11">
                  <c:v>0.183939720585721</c:v>
                </c:pt>
                <c:pt idx="12">
                  <c:v>0.183079096033944</c:v>
                </c:pt>
                <c:pt idx="13">
                  <c:v>0.180716527147321</c:v>
                </c:pt>
                <c:pt idx="14">
                  <c:v>0.177145665472108</c:v>
                </c:pt>
                <c:pt idx="15">
                  <c:v>0.172617874759125</c:v>
                </c:pt>
                <c:pt idx="16">
                  <c:v>0.167347620111322</c:v>
                </c:pt>
                <c:pt idx="17">
                  <c:v>0.161517214395724</c:v>
                </c:pt>
                <c:pt idx="18">
                  <c:v>0.155280995444824</c:v>
                </c:pt>
                <c:pt idx="19">
                  <c:v>0.148768999399428</c:v>
                </c:pt>
                <c:pt idx="20">
                  <c:v>0.142090188261503</c:v>
                </c:pt>
                <c:pt idx="21">
                  <c:v>0.135335283236613</c:v>
                </c:pt>
                <c:pt idx="22">
                  <c:v>0.128579249665631</c:v>
                </c:pt>
                <c:pt idx="23">
                  <c:v>0.121883474198567</c:v>
                </c:pt>
                <c:pt idx="24">
                  <c:v>0.115297670281224</c:v>
                </c:pt>
                <c:pt idx="25">
                  <c:v>0.108861543947295</c:v>
                </c:pt>
                <c:pt idx="26">
                  <c:v>0.102606248279873</c:v>
                </c:pt>
                <c:pt idx="27">
                  <c:v>0.096555651678634</c:v>
                </c:pt>
                <c:pt idx="28">
                  <c:v>0.0907274421986621</c:v>
                </c:pt>
                <c:pt idx="29">
                  <c:v>0.0851340876753051</c:v>
                </c:pt>
                <c:pt idx="30">
                  <c:v>0.0797836690817904</c:v>
                </c:pt>
                <c:pt idx="31">
                  <c:v>0.0746806025517958</c:v>
                </c:pt>
                <c:pt idx="32">
                  <c:v>0.0698262637100145</c:v>
                </c:pt>
                <c:pt idx="33">
                  <c:v>0.0652195263653859</c:v>
                </c:pt>
                <c:pt idx="34">
                  <c:v>0.0608572262120459</c:v>
                </c:pt>
                <c:pt idx="35">
                  <c:v>0.0567345589325543</c:v>
                </c:pt>
                <c:pt idx="36">
                  <c:v>0.0528454209890573</c:v>
                </c:pt>
                <c:pt idx="37">
                  <c:v>0.0491827004051265</c:v>
                </c:pt>
                <c:pt idx="38">
                  <c:v>0.0457385239701278</c:v>
                </c:pt>
                <c:pt idx="39">
                  <c:v>0.0425044665267146</c:v>
                </c:pt>
                <c:pt idx="40">
                  <c:v>0.0394717273193185</c:v>
                </c:pt>
                <c:pt idx="41">
                  <c:v>0.0366312777774683</c:v>
                </c:pt>
                <c:pt idx="42">
                  <c:v>0.0339739845736105</c:v>
                </c:pt>
                <c:pt idx="43">
                  <c:v>0.0314907113230032</c:v>
                </c:pt>
                <c:pt idx="44">
                  <c:v>0.029172401876232</c:v>
                </c:pt>
                <c:pt idx="45">
                  <c:v>0.0270101477867506</c:v>
                </c:pt>
                <c:pt idx="46">
                  <c:v>0.0249952422110452</c:v>
                </c:pt>
                <c:pt idx="47">
                  <c:v>0.0231192222126572</c:v>
                </c:pt>
                <c:pt idx="48">
                  <c:v>0.0213739011889852</c:v>
                </c:pt>
                <c:pt idx="49">
                  <c:v>0.0197513929176481</c:v>
                </c:pt>
                <c:pt idx="50">
                  <c:v>0.0182441285237647</c:v>
                </c:pt>
                <c:pt idx="51">
                  <c:v>0.0168448674977137</c:v>
                </c:pt>
                <c:pt idx="52">
                  <c:v>0.0155467037420649</c:v>
                </c:pt>
                <c:pt idx="53">
                  <c:v>0.014343067493978</c:v>
                </c:pt>
                <c:pt idx="54">
                  <c:v>0.0132277238533121</c:v>
                </c:pt>
                <c:pt idx="55">
                  <c:v>0.0121947685450542</c:v>
                </c:pt>
                <c:pt idx="56">
                  <c:v>0.0112386214557762</c:v>
                </c:pt>
                <c:pt idx="57">
                  <c:v>0.0103540184061522</c:v>
                </c:pt>
                <c:pt idx="58">
                  <c:v>0.00953600155379316</c:v>
                </c:pt>
                <c:pt idx="59">
                  <c:v>0.0087799087615899</c:v>
                </c:pt>
                <c:pt idx="60">
                  <c:v>0.00808136221536672</c:v>
                </c:pt>
                <c:pt idx="61">
                  <c:v>0.00743625652999911</c:v>
                </c:pt>
                <c:pt idx="62">
                  <c:v>0.00684074654443173</c:v>
                </c:pt>
                <c:pt idx="63">
                  <c:v>0.00629123497251681</c:v>
                </c:pt>
                <c:pt idx="64">
                  <c:v>0.00578436004764109</c:v>
                </c:pt>
                <c:pt idx="65">
                  <c:v>0.00531698327415662</c:v>
                </c:pt>
                <c:pt idx="66">
                  <c:v>0.00488617737717714</c:v>
                </c:pt>
                <c:pt idx="67">
                  <c:v>0.00448921452390808</c:v>
                </c:pt>
                <c:pt idx="68">
                  <c:v>0.00412355487395619</c:v>
                </c:pt>
                <c:pt idx="69">
                  <c:v>0.00378683550267236</c:v>
                </c:pt>
                <c:pt idx="70">
                  <c:v>0.00347685973021739</c:v>
                </c:pt>
                <c:pt idx="71">
                  <c:v>0.00319158687944083</c:v>
                </c:pt>
                <c:pt idx="72">
                  <c:v>0.00292912247759398</c:v>
                </c:pt>
                <c:pt idx="73">
                  <c:v>0.00268770891015607</c:v>
                </c:pt>
                <c:pt idx="74">
                  <c:v>0.00246571652945755</c:v>
                </c:pt>
                <c:pt idx="75">
                  <c:v>0.00226163521617944</c:v>
                </c:pt>
                <c:pt idx="76">
                  <c:v>0.00207406638805439</c:v>
                </c:pt>
                <c:pt idx="77">
                  <c:v>0.00190171544707434</c:v>
                </c:pt>
                <c:pt idx="78">
                  <c:v>0.00174338465411419</c:v>
                </c:pt>
                <c:pt idx="79">
                  <c:v>0.00159796641802118</c:v>
                </c:pt>
                <c:pt idx="80">
                  <c:v>0.00146443698481341</c:v>
                </c:pt>
                <c:pt idx="81">
                  <c:v>0.00134185051161006</c:v>
                </c:pt>
                <c:pt idx="82">
                  <c:v>0.00122933350921942</c:v>
                </c:pt>
                <c:pt idx="83">
                  <c:v>0.0011260796368858</c:v>
                </c:pt>
                <c:pt idx="84">
                  <c:v>0.00103134483249801</c:v>
                </c:pt>
                <c:pt idx="85">
                  <c:v>0.000944442761551174</c:v>
                </c:pt>
                <c:pt idx="86">
                  <c:v>0.000864740568295248</c:v>
                </c:pt>
                <c:pt idx="87">
                  <c:v>0.0007916549127706</c:v>
                </c:pt>
                <c:pt idx="88">
                  <c:v>0.000724648277796215</c:v>
                </c:pt>
                <c:pt idx="89">
                  <c:v>0.000663225530420106</c:v>
                </c:pt>
                <c:pt idx="90">
                  <c:v>0.000606930722844959</c:v>
                </c:pt>
                <c:pt idx="91">
                  <c:v>0.000555344118390066</c:v>
                </c:pt>
                <c:pt idx="92">
                  <c:v>0.00050807942863003</c:v>
                </c:pt>
                <c:pt idx="93">
                  <c:v>0.000464781248450636</c:v>
                </c:pt>
                <c:pt idx="94">
                  <c:v>0.000425122676373513</c:v>
                </c:pt>
                <c:pt idx="95">
                  <c:v>0.000388803108116178</c:v>
                </c:pt>
                <c:pt idx="96">
                  <c:v>0.000355546191966583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5440984"/>
        <c:axId val="-2145445352"/>
      </c:scatterChart>
      <c:valAx>
        <c:axId val="-2145440984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-2145445352"/>
        <c:crosses val="autoZero"/>
        <c:crossBetween val="midCat"/>
      </c:valAx>
      <c:valAx>
        <c:axId val="-2145445352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-21454409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607168107483068"/>
          <c:y val="0.0319767441860465"/>
          <c:w val="0.723853484435941"/>
          <c:h val="0.9218721388024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'Gamma_k,theta'!$I$4</c:f>
              <c:strCache>
                <c:ptCount val="1"/>
                <c:pt idx="0">
                  <c:v>G(a=3;b=0;t=1.5)-CDF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'Gamma_k,theta'!$C$5:$C$101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'Gamma_k,theta'!$I$5:$I$101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0.000357586693166686</c:v>
                </c:pt>
                <c:pt idx="3">
                  <c:v>0.00259109715181304</c:v>
                </c:pt>
                <c:pt idx="4">
                  <c:v>0.00792633186725384</c:v>
                </c:pt>
                <c:pt idx="5">
                  <c:v>0.0170416677543023</c:v>
                </c:pt>
                <c:pt idx="6">
                  <c:v>0.0302121084939928</c:v>
                </c:pt>
                <c:pt idx="7">
                  <c:v>0.0474225960714902</c:v>
                </c:pt>
                <c:pt idx="8">
                  <c:v>0.0684564256757205</c:v>
                </c:pt>
                <c:pt idx="9">
                  <c:v>0.0929635750613798</c:v>
                </c:pt>
                <c:pt idx="10">
                  <c:v>0.12051290121637</c:v>
                </c:pt>
                <c:pt idx="11">
                  <c:v>0.150631443849325</c:v>
                </c:pt>
                <c:pt idx="12">
                  <c:v>0.18283348330131</c:v>
                </c:pt>
                <c:pt idx="13">
                  <c:v>0.216641510180737</c:v>
                </c:pt>
                <c:pt idx="14">
                  <c:v>0.251600858639837</c:v>
                </c:pt>
                <c:pt idx="15">
                  <c:v>0.287289420721879</c:v>
                </c:pt>
                <c:pt idx="16">
                  <c:v>0.323323583816937</c:v>
                </c:pt>
                <c:pt idx="17">
                  <c:v>0.35936130706756</c:v>
                </c:pt>
                <c:pt idx="18">
                  <c:v>0.395103067258062</c:v>
                </c:pt>
                <c:pt idx="19">
                  <c:v>0.43029125334249</c:v>
                </c:pt>
                <c:pt idx="20">
                  <c:v>0.464708465491878</c:v>
                </c:pt>
                <c:pt idx="21">
                  <c:v>0.498175074501989</c:v>
                </c:pt>
                <c:pt idx="22">
                  <c:v>0.530546316533318</c:v>
                </c:pt>
                <c:pt idx="23">
                  <c:v>0.561709133066571</c:v>
                </c:pt>
                <c:pt idx="24">
                  <c:v>0.591578913827723</c:v>
                </c:pt>
                <c:pt idx="25">
                  <c:v>0.620096258921627</c:v>
                </c:pt>
                <c:pt idx="26">
                  <c:v>0.64722384356606</c:v>
                </c:pt>
                <c:pt idx="27">
                  <c:v>0.672943443026572</c:v>
                </c:pt>
                <c:pt idx="28">
                  <c:v>0.697253155283999</c:v>
                </c:pt>
                <c:pt idx="29">
                  <c:v>0.720164843521038</c:v>
                </c:pt>
                <c:pt idx="30">
                  <c:v>0.74170180878693</c:v>
                </c:pt>
                <c:pt idx="31">
                  <c:v>0.761896694446456</c:v>
                </c:pt>
                <c:pt idx="32">
                  <c:v>0.780789617632718</c:v>
                </c:pt>
                <c:pt idx="33">
                  <c:v>0.798426518405259</c:v>
                </c:pt>
                <c:pt idx="34">
                  <c:v>0.814857714261728</c:v>
                </c:pt>
                <c:pt idx="35">
                  <c:v>0.830136645734502</c:v>
                </c:pt>
                <c:pt idx="36">
                  <c:v>0.844318797758579</c:v>
                </c:pt>
                <c:pt idx="37">
                  <c:v>0.857460781110973</c:v>
                </c:pt>
                <c:pt idx="38">
                  <c:v>0.869619558324433</c:v>
                </c:pt>
                <c:pt idx="39">
                  <c:v>0.880851798934575</c:v>
                </c:pt>
                <c:pt idx="40">
                  <c:v>0.891213349622598</c:v>
                </c:pt>
                <c:pt idx="41">
                  <c:v>0.900758805682354</c:v>
                </c:pt>
                <c:pt idx="42">
                  <c:v>0.909541171205938</c:v>
                </c:pt>
                <c:pt idx="43">
                  <c:v>0.91761159639676</c:v>
                </c:pt>
                <c:pt idx="44">
                  <c:v>0.925019181446016</c:v>
                </c:pt>
                <c:pt idx="45">
                  <c:v>0.931810837420129</c:v>
                </c:pt>
                <c:pt idx="46">
                  <c:v>0.938031195583341</c:v>
                </c:pt>
                <c:pt idx="47">
                  <c:v>0.943722557507585</c:v>
                </c:pt>
                <c:pt idx="48">
                  <c:v>0.948924879192208</c:v>
                </c:pt>
                <c:pt idx="49">
                  <c:v>0.953675783223911</c:v>
                </c:pt>
                <c:pt idx="50">
                  <c:v>0.958010593749988</c:v>
                </c:pt>
                <c:pt idx="51">
                  <c:v>0.96196238971551</c:v>
                </c:pt>
                <c:pt idx="52">
                  <c:v>0.965562072428639</c:v>
                </c:pt>
                <c:pt idx="53">
                  <c:v>0.9688384440704</c:v>
                </c:pt>
                <c:pt idx="54">
                  <c:v>0.971818294259029</c:v>
                </c:pt>
                <c:pt idx="55">
                  <c:v>0.974526492218188</c:v>
                </c:pt>
                <c:pt idx="56">
                  <c:v>0.976986082486893</c:v>
                </c:pt>
                <c:pt idx="57">
                  <c:v>0.979218382450898</c:v>
                </c:pt>
                <c:pt idx="58">
                  <c:v>0.981243080274646</c:v>
                </c:pt>
                <c:pt idx="59">
                  <c:v>0.983078332073712</c:v>
                </c:pt>
                <c:pt idx="60">
                  <c:v>0.984740857393654</c:v>
                </c:pt>
                <c:pt idx="61">
                  <c:v>0.986246032255997</c:v>
                </c:pt>
                <c:pt idx="62">
                  <c:v>0.987607979199109</c:v>
                </c:pt>
                <c:pt idx="63">
                  <c:v>0.988839653884009</c:v>
                </c:pt>
                <c:pt idx="64">
                  <c:v>0.989952927955689</c:v>
                </c:pt>
                <c:pt idx="65">
                  <c:v>0.990958667951807</c:v>
                </c:pt>
                <c:pt idx="66">
                  <c:v>0.991866810135184</c:v>
                </c:pt>
                <c:pt idx="67">
                  <c:v>0.992686431196367</c:v>
                </c:pt>
                <c:pt idx="68">
                  <c:v>0.993425814829748</c:v>
                </c:pt>
                <c:pt idx="69">
                  <c:v>0.994092514232888</c:v>
                </c:pt>
                <c:pt idx="70">
                  <c:v>0.994693410615516</c:v>
                </c:pt>
                <c:pt idx="71">
                  <c:v>0.995234767833328</c:v>
                </c:pt>
                <c:pt idx="72">
                  <c:v>0.995722283283611</c:v>
                </c:pt>
                <c:pt idx="73">
                  <c:v>0.996161135215698</c:v>
                </c:pt>
                <c:pt idx="74">
                  <c:v>0.996556026620499</c:v>
                </c:pt>
                <c:pt idx="75">
                  <c:v>0.996911225870383</c:v>
                </c:pt>
                <c:pt idx="76">
                  <c:v>0.997230604284488</c:v>
                </c:pt>
                <c:pt idx="77">
                  <c:v>0.997517670795489</c:v>
                </c:pt>
                <c:pt idx="78">
                  <c:v>0.997775603892602</c:v>
                </c:pt>
                <c:pt idx="79">
                  <c:v>0.99800728101261</c:v>
                </c:pt>
                <c:pt idx="80">
                  <c:v>0.998215305546226</c:v>
                </c:pt>
                <c:pt idx="81">
                  <c:v>0.998402031621645</c:v>
                </c:pt>
                <c:pt idx="82">
                  <c:v>0.998569586820809</c:v>
                </c:pt>
                <c:pt idx="83">
                  <c:v>0.998719892977057</c:v>
                </c:pt>
                <c:pt idx="84">
                  <c:v>0.998854685195599</c:v>
                </c:pt>
                <c:pt idx="85">
                  <c:v>0.998975529230759</c:v>
                </c:pt>
                <c:pt idx="86">
                  <c:v>0.999083837346432</c:v>
                </c:pt>
                <c:pt idx="87">
                  <c:v>0.999180882778632</c:v>
                </c:pt>
                <c:pt idx="88">
                  <c:v>0.999267812911629</c:v>
                </c:pt>
                <c:pt idx="89">
                  <c:v>0.999345661271878</c:v>
                </c:pt>
                <c:pt idx="90">
                  <c:v>0.999415358436962</c:v>
                </c:pt>
                <c:pt idx="91">
                  <c:v>0.999477741949967</c:v>
                </c:pt>
                <c:pt idx="92">
                  <c:v>0.99953356532326</c:v>
                </c:pt>
                <c:pt idx="93">
                  <c:v>0.99958350620945</c:v>
                </c:pt>
                <c:pt idx="94">
                  <c:v>0.999628173811484</c:v>
                </c:pt>
                <c:pt idx="95">
                  <c:v>0.999668115598287</c:v>
                </c:pt>
                <c:pt idx="96">
                  <c:v>0.999703823387181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'Gamma_k,theta'!$L$4</c:f>
              <c:strCache>
                <c:ptCount val="1"/>
                <c:pt idx="0">
                  <c:v>G(a=4;b=0;t=1.5)-CDF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'Gamma_k,theta'!$C$5:$C$101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'Gamma_k,theta'!$L$5:$L$101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1.18392091003363E-5</c:v>
                </c:pt>
                <c:pt idx="3">
                  <c:v>0.000170385366364269</c:v>
                </c:pt>
                <c:pt idx="4">
                  <c:v>0.000776251376207016</c:v>
                </c:pt>
                <c:pt idx="5">
                  <c:v>0.00220893371039434</c:v>
                </c:pt>
                <c:pt idx="6">
                  <c:v>0.00485817668991422</c:v>
                </c:pt>
                <c:pt idx="7">
                  <c:v>0.00907985780015398</c:v>
                </c:pt>
                <c:pt idx="8">
                  <c:v>0.0151698805861683</c:v>
                </c:pt>
                <c:pt idx="9">
                  <c:v>0.023351036246529</c:v>
                </c:pt>
                <c:pt idx="10">
                  <c:v>0.0337689681856557</c:v>
                </c:pt>
                <c:pt idx="11">
                  <c:v>0.046494302865334</c:v>
                </c:pt>
                <c:pt idx="12">
                  <c:v>0.0615287423308973</c:v>
                </c:pt>
                <c:pt idx="13">
                  <c:v>0.0788134872297189</c:v>
                </c:pt>
                <c:pt idx="14">
                  <c:v>0.0982388053747533</c:v>
                </c:pt>
                <c:pt idx="15">
                  <c:v>0.119653905492978</c:v>
                </c:pt>
                <c:pt idx="16">
                  <c:v>0.142876539501453</c:v>
                </c:pt>
                <c:pt idx="17">
                  <c:v>0.167701956295988</c:v>
                </c:pt>
                <c:pt idx="18">
                  <c:v>0.193910979211272</c:v>
                </c:pt>
                <c:pt idx="19">
                  <c:v>0.221277088963683</c:v>
                </c:pt>
                <c:pt idx="20">
                  <c:v>0.249572472805071</c:v>
                </c:pt>
                <c:pt idx="21">
                  <c:v>0.278573055822518</c:v>
                </c:pt>
                <c:pt idx="22">
                  <c:v>0.30806256740852</c:v>
                </c:pt>
                <c:pt idx="23">
                  <c:v>0.337835719329945</c:v>
                </c:pt>
                <c:pt idx="24">
                  <c:v>0.367700585035332</c:v>
                </c:pt>
                <c:pt idx="25">
                  <c:v>0.397480275594443</c:v>
                </c:pt>
                <c:pt idx="26">
                  <c:v>0.427014008089193</c:v>
                </c:pt>
                <c:pt idx="27">
                  <c:v>0.456157659012432</c:v>
                </c:pt>
                <c:pt idx="28">
                  <c:v>0.484783889533852</c:v>
                </c:pt>
                <c:pt idx="29">
                  <c:v>0.512781922306499</c:v>
                </c:pt>
                <c:pt idx="30">
                  <c:v>0.540057041516236</c:v>
                </c:pt>
                <c:pt idx="31">
                  <c:v>0.566529879633291</c:v>
                </c:pt>
                <c:pt idx="32">
                  <c:v>0.592135546174843</c:v>
                </c:pt>
                <c:pt idx="33">
                  <c:v>0.616822645981394</c:v>
                </c:pt>
                <c:pt idx="34">
                  <c:v>0.640552227211231</c:v>
                </c:pt>
                <c:pt idx="35">
                  <c:v>0.663296692564199</c:v>
                </c:pt>
                <c:pt idx="36">
                  <c:v>0.685038701207327</c:v>
                </c:pt>
                <c:pt idx="37">
                  <c:v>0.705770083503436</c:v>
                </c:pt>
                <c:pt idx="38">
                  <c:v>0.72549078592751</c:v>
                </c:pt>
                <c:pt idx="39">
                  <c:v>0.744207859464668</c:v>
                </c:pt>
                <c:pt idx="40">
                  <c:v>0.761934501276876</c:v>
                </c:pt>
                <c:pt idx="41">
                  <c:v>0.778689156455603</c:v>
                </c:pt>
                <c:pt idx="42">
                  <c:v>0.79449468419345</c:v>
                </c:pt>
                <c:pt idx="43">
                  <c:v>0.809377590657783</c:v>
                </c:pt>
                <c:pt idx="44">
                  <c:v>0.823367329183141</c:v>
                </c:pt>
                <c:pt idx="45">
                  <c:v>0.836495667068294</c:v>
                </c:pt>
                <c:pt idx="46">
                  <c:v>0.848796117223352</c:v>
                </c:pt>
                <c:pt idx="47">
                  <c:v>0.86030343212062</c:v>
                </c:pt>
                <c:pt idx="48">
                  <c:v>0.871053156922224</c:v>
                </c:pt>
                <c:pt idx="49">
                  <c:v>0.881081238254093</c:v>
                </c:pt>
                <c:pt idx="50">
                  <c:v>0.890423684839446</c:v>
                </c:pt>
                <c:pt idx="51">
                  <c:v>0.8991162760691</c:v>
                </c:pt>
                <c:pt idx="52">
                  <c:v>0.907194314547449</c:v>
                </c:pt>
                <c:pt idx="53">
                  <c:v>0.914692418692034</c:v>
                </c:pt>
                <c:pt idx="54">
                  <c:v>0.921644351563859</c:v>
                </c:pt>
                <c:pt idx="55">
                  <c:v>0.928082882250691</c:v>
                </c:pt>
                <c:pt idx="56">
                  <c:v>0.934039676304005</c:v>
                </c:pt>
                <c:pt idx="57">
                  <c:v>0.93954521193193</c:v>
                </c:pt>
                <c:pt idx="58">
                  <c:v>0.944628718866975</c:v>
                </c:pt>
                <c:pt idx="59">
                  <c:v>0.949318137051572</c:v>
                </c:pt>
                <c:pt idx="60">
                  <c:v>0.953640092511078</c:v>
                </c:pt>
                <c:pt idx="61">
                  <c:v>0.957619888008316</c:v>
                </c:pt>
                <c:pt idx="62">
                  <c:v>0.961281506292744</c:v>
                </c:pt>
                <c:pt idx="63">
                  <c:v>0.964647623968193</c:v>
                </c:pt>
                <c:pt idx="64">
                  <c:v>0.967739634204005</c:v>
                </c:pt>
                <c:pt idx="65">
                  <c:v>0.970577676704044</c:v>
                </c:pt>
                <c:pt idx="66">
                  <c:v>0.97318067352551</c:v>
                </c:pt>
                <c:pt idx="67">
                  <c:v>0.975566369504456</c:v>
                </c:pt>
                <c:pt idx="68">
                  <c:v>0.977751376197125</c:v>
                </c:pt>
                <c:pt idx="69">
                  <c:v>0.979751218385879</c:v>
                </c:pt>
                <c:pt idx="70">
                  <c:v>0.981580382325895</c:v>
                </c:pt>
                <c:pt idx="71">
                  <c:v>0.983252365024305</c:v>
                </c:pt>
                <c:pt idx="72">
                  <c:v>0.984779723947725</c:v>
                </c:pt>
                <c:pt idx="73">
                  <c:v>0.986174126647703</c:v>
                </c:pt>
                <c:pt idx="74">
                  <c:v>0.98744639987718</c:v>
                </c:pt>
                <c:pt idx="75">
                  <c:v>0.988606577845368</c:v>
                </c:pt>
                <c:pt idx="76">
                  <c:v>0.989663949324074</c:v>
                </c:pt>
                <c:pt idx="77">
                  <c:v>0.990627103376303</c:v>
                </c:pt>
                <c:pt idx="78">
                  <c:v>0.991503973528467</c:v>
                </c:pt>
                <c:pt idx="79">
                  <c:v>0.992301880251482</c:v>
                </c:pt>
                <c:pt idx="80">
                  <c:v>0.993027571654018</c:v>
                </c:pt>
                <c:pt idx="81">
                  <c:v>0.993687262323795</c:v>
                </c:pt>
                <c:pt idx="82">
                  <c:v>0.994286670280626</c:v>
                </c:pt>
                <c:pt idx="83">
                  <c:v>0.994831052028409</c:v>
                </c:pt>
                <c:pt idx="84">
                  <c:v>0.995325235712981</c:v>
                </c:pt>
                <c:pt idx="85">
                  <c:v>0.995773652409065</c:v>
                </c:pt>
                <c:pt idx="86">
                  <c:v>0.996180365572858</c:v>
                </c:pt>
                <c:pt idx="87">
                  <c:v>0.996549098707587</c:v>
                </c:pt>
                <c:pt idx="88">
                  <c:v>0.996883261297769</c:v>
                </c:pt>
                <c:pt idx="89">
                  <c:v>0.99718597307446</c:v>
                </c:pt>
                <c:pt idx="90">
                  <c:v>0.997460086678511</c:v>
                </c:pt>
                <c:pt idx="91">
                  <c:v>0.997708208792209</c:v>
                </c:pt>
                <c:pt idx="92">
                  <c:v>0.997932719811778</c:v>
                </c:pt>
                <c:pt idx="93">
                  <c:v>0.99813579213422</c:v>
                </c:pt>
                <c:pt idx="94">
                  <c:v>0.998319407132164</c:v>
                </c:pt>
                <c:pt idx="95">
                  <c:v>0.99848537088981</c:v>
                </c:pt>
                <c:pt idx="96">
                  <c:v>0.998635328771889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'Gamma_k,theta'!$O$4</c:f>
              <c:strCache>
                <c:ptCount val="1"/>
                <c:pt idx="0">
                  <c:v>G(a=5;b=0;t=1.5)-CDF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'Gamma_k,theta'!$C$5:$C$101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'Gamma_k,theta'!$O$5:$O$101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3.14292964791283E-7</c:v>
                </c:pt>
                <c:pt idx="3">
                  <c:v>9.00458066768505E-6</c:v>
                </c:pt>
                <c:pt idx="4">
                  <c:v>6.12433271023338E-5</c:v>
                </c:pt>
                <c:pt idx="5">
                  <c:v>0.000231235837873283</c:v>
                </c:pt>
                <c:pt idx="6">
                  <c:v>0.00063252138923445</c:v>
                </c:pt>
                <c:pt idx="7">
                  <c:v>0.00141131014588673</c:v>
                </c:pt>
                <c:pt idx="8">
                  <c:v>0.00273635339860609</c:v>
                </c:pt>
                <c:pt idx="9">
                  <c:v>0.00478769256256875</c:v>
                </c:pt>
                <c:pt idx="10">
                  <c:v>0.0077457882764414</c:v>
                </c:pt>
                <c:pt idx="11">
                  <c:v>0.0117819225373371</c:v>
                </c:pt>
                <c:pt idx="12">
                  <c:v>0.017050337308413</c:v>
                </c:pt>
                <c:pt idx="13">
                  <c:v>0.0236822780493117</c:v>
                </c:pt>
                <c:pt idx="14">
                  <c:v>0.0317819156265503</c:v>
                </c:pt>
                <c:pt idx="15">
                  <c:v>0.0414239983861577</c:v>
                </c:pt>
                <c:pt idx="16">
                  <c:v>0.0526530173437112</c:v>
                </c:pt>
                <c:pt idx="17">
                  <c:v>0.0654836358844836</c:v>
                </c:pt>
                <c:pt idx="18">
                  <c:v>0.0799021293180914</c:v>
                </c:pt>
                <c:pt idx="19">
                  <c:v>0.0958685903363993</c:v>
                </c:pt>
                <c:pt idx="20">
                  <c:v>0.11331967743676</c:v>
                </c:pt>
                <c:pt idx="21">
                  <c:v>0.132171710036203</c:v>
                </c:pt>
                <c:pt idx="22">
                  <c:v>0.152323943021162</c:v>
                </c:pt>
                <c:pt idx="23">
                  <c:v>0.173661882589752</c:v>
                </c:pt>
                <c:pt idx="24">
                  <c:v>0.196060532961165</c:v>
                </c:pt>
                <c:pt idx="25">
                  <c:v>0.219387488932696</c:v>
                </c:pt>
                <c:pt idx="26">
                  <c:v>0.243505811858471</c:v>
                </c:pt>
                <c:pt idx="27">
                  <c:v>0.268276646200176</c:v>
                </c:pt>
                <c:pt idx="28">
                  <c:v>0.293561550358719</c:v>
                </c:pt>
                <c:pt idx="29">
                  <c:v>0.319224529172929</c:v>
                </c:pt>
                <c:pt idx="30">
                  <c:v>0.345133766487899</c:v>
                </c:pt>
                <c:pt idx="31">
                  <c:v>0.371163064820127</c:v>
                </c:pt>
                <c:pt idx="32">
                  <c:v>0.397193005668371</c:v>
                </c:pt>
                <c:pt idx="33">
                  <c:v>0.423111848729272</c:v>
                </c:pt>
                <c:pt idx="34">
                  <c:v>0.448816191455684</c:v>
                </c:pt>
                <c:pt idx="35">
                  <c:v>0.474211412304522</c:v>
                </c:pt>
                <c:pt idx="36">
                  <c:v>0.499211921897533</c:v>
                </c:pt>
                <c:pt idx="37">
                  <c:v>0.523741246374392</c:v>
                </c:pt>
                <c:pt idx="38">
                  <c:v>0.547731966637972</c:v>
                </c:pt>
                <c:pt idx="39">
                  <c:v>0.57112553613612</c:v>
                </c:pt>
                <c:pt idx="40">
                  <c:v>0.593871998427438</c:v>
                </c:pt>
                <c:pt idx="41">
                  <c:v>0.61592962415327</c:v>
                </c:pt>
                <c:pt idx="42">
                  <c:v>0.637264485276382</c:v>
                </c:pt>
                <c:pt idx="43">
                  <c:v>0.657849982623214</c:v>
                </c:pt>
                <c:pt idx="44">
                  <c:v>0.677666340939687</c:v>
                </c:pt>
                <c:pt idx="45">
                  <c:v>0.696700083885602</c:v>
                </c:pt>
                <c:pt idx="46">
                  <c:v>0.714943499683369</c:v>
                </c:pt>
                <c:pt idx="47">
                  <c:v>0.732394106527275</c:v>
                </c:pt>
                <c:pt idx="48">
                  <c:v>0.749054125365916</c:v>
                </c:pt>
                <c:pt idx="49">
                  <c:v>0.764929966302384</c:v>
                </c:pt>
                <c:pt idx="50">
                  <c:v>0.780031733618895</c:v>
                </c:pt>
                <c:pt idx="51">
                  <c:v>0.794372753325082</c:v>
                </c:pt>
                <c:pt idx="52">
                  <c:v>0.807969126149427</c:v>
                </c:pt>
                <c:pt idx="53">
                  <c:v>0.820839308036198</c:v>
                </c:pt>
                <c:pt idx="54">
                  <c:v>0.833003719469057</c:v>
                </c:pt>
                <c:pt idx="55">
                  <c:v>0.844484384309197</c:v>
                </c:pt>
                <c:pt idx="56">
                  <c:v>0.855304598302043</c:v>
                </c:pt>
                <c:pt idx="57">
                  <c:v>0.86548862696319</c:v>
                </c:pt>
                <c:pt idx="58">
                  <c:v>0.8750614321924</c:v>
                </c:pt>
                <c:pt idx="59">
                  <c:v>0.884048426675436</c:v>
                </c:pt>
                <c:pt idx="60">
                  <c:v>0.89247525490868</c:v>
                </c:pt>
                <c:pt idx="61">
                  <c:v>0.900367599512954</c:v>
                </c:pt>
                <c:pt idx="62">
                  <c:v>0.907751011383137</c:v>
                </c:pt>
                <c:pt idx="63">
                  <c:v>0.914650762142173</c:v>
                </c:pt>
                <c:pt idx="64">
                  <c:v>0.92109171732547</c:v>
                </c:pt>
                <c:pt idx="65">
                  <c:v>0.927098228708816</c:v>
                </c:pt>
                <c:pt idx="66">
                  <c:v>0.932694044204549</c:v>
                </c:pt>
                <c:pt idx="67">
                  <c:v>0.937902233782253</c:v>
                </c:pt>
                <c:pt idx="68">
                  <c:v>0.942745129917601</c:v>
                </c:pt>
                <c:pt idx="69">
                  <c:v>0.947244281132658</c:v>
                </c:pt>
                <c:pt idx="70">
                  <c:v>0.951420417259768</c:v>
                </c:pt>
                <c:pt idx="71">
                  <c:v>0.955293425136584</c:v>
                </c:pt>
                <c:pt idx="72">
                  <c:v>0.958882333519464</c:v>
                </c:pt>
                <c:pt idx="73">
                  <c:v>0.962205306084514</c:v>
                </c:pt>
                <c:pt idx="74">
                  <c:v>0.965279641468439</c:v>
                </c:pt>
                <c:pt idx="75">
                  <c:v>0.968121779383667</c:v>
                </c:pt>
                <c:pt idx="76">
                  <c:v>0.970747311923039</c:v>
                </c:pt>
                <c:pt idx="77">
                  <c:v>0.973170999247698</c:v>
                </c:pt>
                <c:pt idx="78">
                  <c:v>0.975406788927188</c:v>
                </c:pt>
                <c:pt idx="79">
                  <c:v>0.977467838272551</c:v>
                </c:pt>
                <c:pt idx="80">
                  <c:v>0.979366539071202</c:v>
                </c:pt>
                <c:pt idx="81">
                  <c:v>0.981114544196194</c:v>
                </c:pt>
                <c:pt idx="82">
                  <c:v>0.982722795622134</c:v>
                </c:pt>
                <c:pt idx="83">
                  <c:v>0.984201553435437</c:v>
                </c:pt>
                <c:pt idx="84">
                  <c:v>0.985560425477739</c:v>
                </c:pt>
                <c:pt idx="85">
                  <c:v>0.986808397308321</c:v>
                </c:pt>
                <c:pt idx="86">
                  <c:v>0.987953862214401</c:v>
                </c:pt>
                <c:pt idx="87">
                  <c:v>0.989004651037257</c:v>
                </c:pt>
                <c:pt idx="88">
                  <c:v>0.989968061617576</c:v>
                </c:pt>
                <c:pt idx="89">
                  <c:v>0.99085088769537</c:v>
                </c:pt>
                <c:pt idx="90">
                  <c:v>0.991659447128439</c:v>
                </c:pt>
                <c:pt idx="91">
                  <c:v>0.992399609318933</c:v>
                </c:pt>
                <c:pt idx="92">
                  <c:v>0.993076821760281</c:v>
                </c:pt>
                <c:pt idx="93">
                  <c:v>0.993696135636847</c:v>
                </c:pt>
                <c:pt idx="94">
                  <c:v>0.994262230426274</c:v>
                </c:pt>
                <c:pt idx="95">
                  <c:v>0.994779437469916</c:v>
                </c:pt>
                <c:pt idx="96">
                  <c:v>0.995251762490131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'Gamma_k,theta'!$R$4</c:f>
              <c:strCache>
                <c:ptCount val="1"/>
                <c:pt idx="0">
                  <c:v>G(a=6;b=0;t=1.5)-CDF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'Gamma_k,theta'!$C$5:$C$101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'Gamma_k,theta'!$R$5:$R$101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6.96186784341709E-9</c:v>
                </c:pt>
                <c:pt idx="3">
                  <c:v>3.9760543053389E-7</c:v>
                </c:pt>
                <c:pt idx="4">
                  <c:v>4.04268317395922E-6</c:v>
                </c:pt>
                <c:pt idx="5">
                  <c:v>2.02813981377032E-5</c:v>
                </c:pt>
                <c:pt idx="6">
                  <c:v>6.91006824771471E-5</c:v>
                </c:pt>
                <c:pt idx="7">
                  <c:v>0.000184342521203975</c:v>
                </c:pt>
                <c:pt idx="8">
                  <c:v>0.000415428323594479</c:v>
                </c:pt>
                <c:pt idx="9">
                  <c:v>0.000827512576657234</c:v>
                </c:pt>
                <c:pt idx="10">
                  <c:v>0.00150022509822999</c:v>
                </c:pt>
                <c:pt idx="11">
                  <c:v>0.00252528778320457</c:v>
                </c:pt>
                <c:pt idx="12">
                  <c:v>0.00400333850181753</c:v>
                </c:pt>
                <c:pt idx="13">
                  <c:v>0.00604029111158137</c:v>
                </c:pt>
                <c:pt idx="14">
                  <c:v>0.00874352718050666</c:v>
                </c:pt>
                <c:pt idx="15">
                  <c:v>0.0122181663996115</c:v>
                </c:pt>
                <c:pt idx="16">
                  <c:v>0.0165636084806145</c:v>
                </c:pt>
                <c:pt idx="17">
                  <c:v>0.0218704858422415</c:v>
                </c:pt>
                <c:pt idx="18">
                  <c:v>0.0282181173665161</c:v>
                </c:pt>
                <c:pt idx="19">
                  <c:v>0.035672510995303</c:v>
                </c:pt>
                <c:pt idx="20">
                  <c:v>0.044284927783482</c:v>
                </c:pt>
                <c:pt idx="21">
                  <c:v>0.0540909922835021</c:v>
                </c:pt>
                <c:pt idx="22">
                  <c:v>0.0651103133642411</c:v>
                </c:pt>
                <c:pt idx="23">
                  <c:v>0.0773465650355051</c:v>
                </c:pt>
                <c:pt idx="24">
                  <c:v>0.0907879676890101</c:v>
                </c:pt>
                <c:pt idx="25">
                  <c:v>0.105408105469178</c:v>
                </c:pt>
                <c:pt idx="26">
                  <c:v>0.121167014371323</c:v>
                </c:pt>
                <c:pt idx="27">
                  <c:v>0.138012477317012</c:v>
                </c:pt>
                <c:pt idx="28">
                  <c:v>0.155881466152624</c:v>
                </c:pt>
                <c:pt idx="29">
                  <c:v>0.174701675633197</c:v>
                </c:pt>
                <c:pt idx="30">
                  <c:v>0.194393100465984</c:v>
                </c:pt>
                <c:pt idx="31">
                  <c:v>0.214869612969595</c:v>
                </c:pt>
                <c:pt idx="32">
                  <c:v>0.236040505516354</c:v>
                </c:pt>
                <c:pt idx="33">
                  <c:v>0.257811968407461</c:v>
                </c:pt>
                <c:pt idx="34">
                  <c:v>0.280088479990803</c:v>
                </c:pt>
                <c:pt idx="35">
                  <c:v>0.302774091535748</c:v>
                </c:pt>
                <c:pt idx="36">
                  <c:v>0.325773594541725</c:v>
                </c:pt>
                <c:pt idx="37">
                  <c:v>0.348993562730509</c:v>
                </c:pt>
                <c:pt idx="38">
                  <c:v>0.372343264938961</c:v>
                </c:pt>
                <c:pt idx="39">
                  <c:v>0.395735448496524</c:v>
                </c:pt>
                <c:pt idx="40">
                  <c:v>0.419086995464022</c:v>
                </c:pt>
                <c:pt idx="41">
                  <c:v>0.442319456364113</c:v>
                </c:pt>
                <c:pt idx="42">
                  <c:v>0.465359467793721</c:v>
                </c:pt>
                <c:pt idx="43">
                  <c:v>0.488139061624497</c:v>
                </c:pt>
                <c:pt idx="44">
                  <c:v>0.510595874420527</c:v>
                </c:pt>
                <c:pt idx="45">
                  <c:v>0.532673266284578</c:v>
                </c:pt>
                <c:pt idx="46">
                  <c:v>0.554320358635389</c:v>
                </c:pt>
                <c:pt idx="47">
                  <c:v>0.575492000466105</c:v>
                </c:pt>
                <c:pt idx="48">
                  <c:v>0.59614867248201</c:v>
                </c:pt>
                <c:pt idx="49">
                  <c:v>0.616256338204196</c:v>
                </c:pt>
                <c:pt idx="50">
                  <c:v>0.635786250690707</c:v>
                </c:pt>
                <c:pt idx="51">
                  <c:v>0.654714722999726</c:v>
                </c:pt>
                <c:pt idx="52">
                  <c:v>0.673022869928116</c:v>
                </c:pt>
                <c:pt idx="53">
                  <c:v>0.690696327926772</c:v>
                </c:pt>
                <c:pt idx="54">
                  <c:v>0.707724959441738</c:v>
                </c:pt>
                <c:pt idx="55">
                  <c:v>0.724102547273446</c:v>
                </c:pt>
                <c:pt idx="56">
                  <c:v>0.739826483899166</c:v>
                </c:pt>
                <c:pt idx="57">
                  <c:v>0.754897460076538</c:v>
                </c:pt>
                <c:pt idx="58">
                  <c:v>0.769319156447046</c:v>
                </c:pt>
                <c:pt idx="59">
                  <c:v>0.783097941293678</c:v>
                </c:pt>
                <c:pt idx="60">
                  <c:v>0.796242577080907</c:v>
                </c:pt>
                <c:pt idx="61">
                  <c:v>0.808763937920374</c:v>
                </c:pt>
                <c:pt idx="62">
                  <c:v>0.820674739663509</c:v>
                </c:pt>
                <c:pt idx="63">
                  <c:v>0.831989283923154</c:v>
                </c:pt>
                <c:pt idx="64">
                  <c:v>0.842723216969531</c:v>
                </c:pt>
                <c:pt idx="65">
                  <c:v>0.852893304130293</c:v>
                </c:pt>
                <c:pt idx="66">
                  <c:v>0.862517220048217</c:v>
                </c:pt>
                <c:pt idx="67">
                  <c:v>0.871613354911174</c:v>
                </c:pt>
                <c:pt idx="68">
                  <c:v>0.880200636564851</c:v>
                </c:pt>
                <c:pt idx="69">
                  <c:v>0.888298368246818</c:v>
                </c:pt>
                <c:pt idx="70">
                  <c:v>0.895926081538094</c:v>
                </c:pt>
                <c:pt idx="71">
                  <c:v>0.903103404012839</c:v>
                </c:pt>
                <c:pt idx="72">
                  <c:v>0.909849940975288</c:v>
                </c:pt>
                <c:pt idx="73">
                  <c:v>0.916185170603191</c:v>
                </c:pt>
                <c:pt idx="74">
                  <c:v>0.922128351766088</c:v>
                </c:pt>
                <c:pt idx="75">
                  <c:v>0.927698443752575</c:v>
                </c:pt>
                <c:pt idx="76">
                  <c:v>0.932914037120968</c:v>
                </c:pt>
                <c:pt idx="77">
                  <c:v>0.937793294880393</c:v>
                </c:pt>
                <c:pt idx="78">
                  <c:v>0.942353903212561</c:v>
                </c:pt>
                <c:pt idx="79">
                  <c:v>0.946613030956373</c:v>
                </c:pt>
                <c:pt idx="80">
                  <c:v>0.950587297096738</c:v>
                </c:pt>
                <c:pt idx="81">
                  <c:v>0.954292745523978</c:v>
                </c:pt>
                <c:pt idx="82">
                  <c:v>0.95774482635979</c:v>
                </c:pt>
                <c:pt idx="83">
                  <c:v>0.960958383178806</c:v>
                </c:pt>
                <c:pt idx="84">
                  <c:v>0.963947645490404</c:v>
                </c:pt>
                <c:pt idx="85">
                  <c:v>0.966726225882655</c:v>
                </c:pt>
                <c:pt idx="86">
                  <c:v>0.969307121268566</c:v>
                </c:pt>
                <c:pt idx="87">
                  <c:v>0.971702717713302</c:v>
                </c:pt>
                <c:pt idx="88">
                  <c:v>0.973924798359528</c:v>
                </c:pt>
                <c:pt idx="89">
                  <c:v>0.975984554005771</c:v>
                </c:pt>
                <c:pt idx="90">
                  <c:v>0.977892595929604</c:v>
                </c:pt>
                <c:pt idx="91">
                  <c:v>0.979658970583071</c:v>
                </c:pt>
                <c:pt idx="92">
                  <c:v>0.981293175821983</c:v>
                </c:pt>
                <c:pt idx="93">
                  <c:v>0.982804178363293</c:v>
                </c:pt>
                <c:pt idx="94">
                  <c:v>0.984200432195666</c:v>
                </c:pt>
                <c:pt idx="95">
                  <c:v>0.985489897697381</c:v>
                </c:pt>
                <c:pt idx="96">
                  <c:v>0.986680061243011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'Gamma_k,theta'!$F$4</c:f>
              <c:strCache>
                <c:ptCount val="1"/>
                <c:pt idx="0">
                  <c:v>G(a=2;b=0;t=2)-CDF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'Gamma_k,theta'!$C$5:$C$101</c:f>
              <c:numCache>
                <c:formatCode>0.000</c:formatCode>
                <c:ptCount val="97"/>
                <c:pt idx="0">
                  <c:v>-0.2</c:v>
                </c:pt>
                <c:pt idx="1">
                  <c:v>0.0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1.0</c:v>
                </c:pt>
                <c:pt idx="7">
                  <c:v>1.2</c:v>
                </c:pt>
                <c:pt idx="8">
                  <c:v>1.4</c:v>
                </c:pt>
                <c:pt idx="9">
                  <c:v>1.6</c:v>
                </c:pt>
                <c:pt idx="10">
                  <c:v>1.8</c:v>
                </c:pt>
                <c:pt idx="11">
                  <c:v>2</c:v>
                </c:pt>
                <c:pt idx="12">
                  <c:v>2.2</c:v>
                </c:pt>
                <c:pt idx="13">
                  <c:v>2.4</c:v>
                </c:pt>
                <c:pt idx="14">
                  <c:v>2.6</c:v>
                </c:pt>
                <c:pt idx="15">
                  <c:v>2.8</c:v>
                </c:pt>
                <c:pt idx="16">
                  <c:v>3.0</c:v>
                </c:pt>
                <c:pt idx="17">
                  <c:v>3.200000000000001</c:v>
                </c:pt>
                <c:pt idx="18">
                  <c:v>3.400000000000001</c:v>
                </c:pt>
                <c:pt idx="19">
                  <c:v>3.600000000000001</c:v>
                </c:pt>
                <c:pt idx="20">
                  <c:v>3.800000000000001</c:v>
                </c:pt>
                <c:pt idx="21">
                  <c:v>4.000000000000001</c:v>
                </c:pt>
                <c:pt idx="22">
                  <c:v>4.200000000000001</c:v>
                </c:pt>
                <c:pt idx="23">
                  <c:v>4.400000000000001</c:v>
                </c:pt>
                <c:pt idx="24">
                  <c:v>4.600000000000001</c:v>
                </c:pt>
                <c:pt idx="25">
                  <c:v>4.800000000000002</c:v>
                </c:pt>
                <c:pt idx="26">
                  <c:v>5.000000000000002</c:v>
                </c:pt>
                <c:pt idx="27">
                  <c:v>5.200000000000002</c:v>
                </c:pt>
                <c:pt idx="28">
                  <c:v>5.400000000000002</c:v>
                </c:pt>
                <c:pt idx="29">
                  <c:v>5.600000000000002</c:v>
                </c:pt>
                <c:pt idx="30">
                  <c:v>5.800000000000002</c:v>
                </c:pt>
                <c:pt idx="31">
                  <c:v>6.000000000000003</c:v>
                </c:pt>
                <c:pt idx="32">
                  <c:v>6.200000000000003</c:v>
                </c:pt>
                <c:pt idx="33">
                  <c:v>6.400000000000003</c:v>
                </c:pt>
                <c:pt idx="34">
                  <c:v>6.600000000000003</c:v>
                </c:pt>
                <c:pt idx="35">
                  <c:v>6.800000000000003</c:v>
                </c:pt>
                <c:pt idx="36">
                  <c:v>7.000000000000004</c:v>
                </c:pt>
                <c:pt idx="37">
                  <c:v>7.200000000000004</c:v>
                </c:pt>
                <c:pt idx="38">
                  <c:v>7.400000000000004</c:v>
                </c:pt>
                <c:pt idx="39">
                  <c:v>7.600000000000004</c:v>
                </c:pt>
                <c:pt idx="40">
                  <c:v>7.800000000000004</c:v>
                </c:pt>
                <c:pt idx="41">
                  <c:v>8.000000000000003</c:v>
                </c:pt>
                <c:pt idx="42">
                  <c:v>8.200000000000003</c:v>
                </c:pt>
                <c:pt idx="43">
                  <c:v>8.400000000000002</c:v>
                </c:pt>
                <c:pt idx="44">
                  <c:v>8.600000000000001</c:v>
                </c:pt>
                <c:pt idx="45">
                  <c:v>8.8</c:v>
                </c:pt>
                <c:pt idx="46">
                  <c:v>9.0</c:v>
                </c:pt>
                <c:pt idx="47">
                  <c:v>9.2</c:v>
                </c:pt>
                <c:pt idx="48">
                  <c:v>9.399999999999998</c:v>
                </c:pt>
                <c:pt idx="49">
                  <c:v>9.599999999999997</c:v>
                </c:pt>
                <c:pt idx="50">
                  <c:v>9.799999999999997</c:v>
                </c:pt>
                <c:pt idx="51">
                  <c:v>9.999999999999996</c:v>
                </c:pt>
                <c:pt idx="52">
                  <c:v>10.2</c:v>
                </c:pt>
                <c:pt idx="53">
                  <c:v>10.39999999999999</c:v>
                </c:pt>
                <c:pt idx="54">
                  <c:v>10.59999999999999</c:v>
                </c:pt>
                <c:pt idx="55">
                  <c:v>10.79999999999999</c:v>
                </c:pt>
                <c:pt idx="56">
                  <c:v>11</c:v>
                </c:pt>
                <c:pt idx="57">
                  <c:v>11.2</c:v>
                </c:pt>
                <c:pt idx="58">
                  <c:v>11.4</c:v>
                </c:pt>
                <c:pt idx="59">
                  <c:v>11.6</c:v>
                </c:pt>
                <c:pt idx="60">
                  <c:v>11.79999999999999</c:v>
                </c:pt>
                <c:pt idx="61">
                  <c:v>11.99999999999999</c:v>
                </c:pt>
                <c:pt idx="62">
                  <c:v>12.19999999999999</c:v>
                </c:pt>
                <c:pt idx="63">
                  <c:v>12.39999999999999</c:v>
                </c:pt>
                <c:pt idx="64">
                  <c:v>12.59999999999999</c:v>
                </c:pt>
                <c:pt idx="65">
                  <c:v>12.79999999999999</c:v>
                </c:pt>
                <c:pt idx="66">
                  <c:v>12.99999999999999</c:v>
                </c:pt>
                <c:pt idx="67">
                  <c:v>13.19999999999999</c:v>
                </c:pt>
                <c:pt idx="68">
                  <c:v>13.39999999999998</c:v>
                </c:pt>
                <c:pt idx="69">
                  <c:v>13.59999999999998</c:v>
                </c:pt>
                <c:pt idx="70">
                  <c:v>13.79999999999998</c:v>
                </c:pt>
                <c:pt idx="71">
                  <c:v>13.99999999999998</c:v>
                </c:pt>
                <c:pt idx="72">
                  <c:v>14.19999999999998</c:v>
                </c:pt>
                <c:pt idx="73">
                  <c:v>14.39999999999998</c:v>
                </c:pt>
                <c:pt idx="74">
                  <c:v>14.59999999999998</c:v>
                </c:pt>
                <c:pt idx="75">
                  <c:v>14.79999999999998</c:v>
                </c:pt>
                <c:pt idx="76">
                  <c:v>14.99999999999998</c:v>
                </c:pt>
                <c:pt idx="77">
                  <c:v>15.19999999999998</c:v>
                </c:pt>
                <c:pt idx="78">
                  <c:v>15.39999999999998</c:v>
                </c:pt>
                <c:pt idx="79">
                  <c:v>15.59999999999998</c:v>
                </c:pt>
                <c:pt idx="80">
                  <c:v>15.79999999999998</c:v>
                </c:pt>
                <c:pt idx="81">
                  <c:v>15.99999999999998</c:v>
                </c:pt>
                <c:pt idx="82">
                  <c:v>16.19999999999997</c:v>
                </c:pt>
                <c:pt idx="83">
                  <c:v>16.39999999999997</c:v>
                </c:pt>
                <c:pt idx="84">
                  <c:v>16.59999999999997</c:v>
                </c:pt>
                <c:pt idx="85">
                  <c:v>16.79999999999997</c:v>
                </c:pt>
                <c:pt idx="86">
                  <c:v>16.99999999999997</c:v>
                </c:pt>
                <c:pt idx="87">
                  <c:v>17.19999999999997</c:v>
                </c:pt>
                <c:pt idx="88">
                  <c:v>17.39999999999997</c:v>
                </c:pt>
                <c:pt idx="89">
                  <c:v>17.59999999999997</c:v>
                </c:pt>
                <c:pt idx="90">
                  <c:v>17.79999999999997</c:v>
                </c:pt>
                <c:pt idx="91">
                  <c:v>17.99999999999997</c:v>
                </c:pt>
                <c:pt idx="92">
                  <c:v>18.19999999999997</c:v>
                </c:pt>
                <c:pt idx="93">
                  <c:v>18.39999999999997</c:v>
                </c:pt>
                <c:pt idx="94">
                  <c:v>18.59999999999997</c:v>
                </c:pt>
                <c:pt idx="95">
                  <c:v>18.79999999999997</c:v>
                </c:pt>
                <c:pt idx="96">
                  <c:v>18.99999999999996</c:v>
                </c:pt>
              </c:numCache>
            </c:numRef>
          </c:xVal>
          <c:yVal>
            <c:numRef>
              <c:f>'Gamma_k,theta'!$F$5:$F$101</c:f>
              <c:numCache>
                <c:formatCode>0.000000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0.00467884016044447</c:v>
                </c:pt>
                <c:pt idx="3">
                  <c:v>0.0175230963064218</c:v>
                </c:pt>
                <c:pt idx="4">
                  <c:v>0.0369363131137668</c:v>
                </c:pt>
                <c:pt idx="5">
                  <c:v>0.061551935550105</c:v>
                </c:pt>
                <c:pt idx="6">
                  <c:v>0.0902040104310498</c:v>
                </c:pt>
                <c:pt idx="7">
                  <c:v>0.121901382249558</c:v>
                </c:pt>
                <c:pt idx="8">
                  <c:v>0.155804983554604</c:v>
                </c:pt>
                <c:pt idx="9">
                  <c:v>0.191207864589001</c:v>
                </c:pt>
                <c:pt idx="10">
                  <c:v>0.227517646492862</c:v>
                </c:pt>
                <c:pt idx="11">
                  <c:v>0.264241117657115</c:v>
                </c:pt>
                <c:pt idx="12">
                  <c:v>0.300970724234033</c:v>
                </c:pt>
                <c:pt idx="13">
                  <c:v>0.337372733793155</c:v>
                </c:pt>
                <c:pt idx="14">
                  <c:v>0.373176876021771</c:v>
                </c:pt>
                <c:pt idx="15">
                  <c:v>0.408167286540145</c:v>
                </c:pt>
                <c:pt idx="16">
                  <c:v>0.442174599628925</c:v>
                </c:pt>
                <c:pt idx="17">
                  <c:v>0.475069053213896</c:v>
                </c:pt>
                <c:pt idx="18">
                  <c:v>0.506754485057617</c:v>
                </c:pt>
                <c:pt idx="19">
                  <c:v>0.537163112979558</c:v>
                </c:pt>
                <c:pt idx="20">
                  <c:v>0.566251004254359</c:v>
                </c:pt>
                <c:pt idx="21">
                  <c:v>0.593994150290162</c:v>
                </c:pt>
                <c:pt idx="22">
                  <c:v>0.620385072415756</c:v>
                </c:pt>
                <c:pt idx="23">
                  <c:v>0.645429893240532</c:v>
                </c:pt>
                <c:pt idx="24">
                  <c:v>0.669145815714748</c:v>
                </c:pt>
                <c:pt idx="25">
                  <c:v>0.691558958815997</c:v>
                </c:pt>
                <c:pt idx="26">
                  <c:v>0.712702504816354</c:v>
                </c:pt>
                <c:pt idx="27">
                  <c:v>0.732615118428398</c:v>
                </c:pt>
                <c:pt idx="28">
                  <c:v>0.751339602862926</c:v>
                </c:pt>
                <c:pt idx="29">
                  <c:v>0.768921762024172</c:v>
                </c:pt>
                <c:pt idx="30">
                  <c:v>0.785409441780012</c:v>
                </c:pt>
                <c:pt idx="31">
                  <c:v>0.800851726528544</c:v>
                </c:pt>
                <c:pt idx="32">
                  <c:v>0.815298270186413</c:v>
                </c:pt>
                <c:pt idx="33">
                  <c:v>0.828798743290862</c:v>
                </c:pt>
                <c:pt idx="34">
                  <c:v>0.841402380174668</c:v>
                </c:pt>
                <c:pt idx="35">
                  <c:v>0.853157612174565</c:v>
                </c:pt>
                <c:pt idx="36">
                  <c:v>0.864111774599567</c:v>
                </c:pt>
                <c:pt idx="37">
                  <c:v>0.874310876742454</c:v>
                </c:pt>
                <c:pt idx="38">
                  <c:v>0.883799425589405</c:v>
                </c:pt>
                <c:pt idx="39">
                  <c:v>0.892620295090405</c:v>
                </c:pt>
                <c:pt idx="40">
                  <c:v>0.900814633915559</c:v>
                </c:pt>
                <c:pt idx="41">
                  <c:v>0.908421805556329</c:v>
                </c:pt>
                <c:pt idx="42">
                  <c:v>0.915479355451018</c:v>
                </c:pt>
                <c:pt idx="43">
                  <c:v>0.922023000533516</c:v>
                </c:pt>
                <c:pt idx="44">
                  <c:v>0.928086637235335</c:v>
                </c:pt>
                <c:pt idx="45">
                  <c:v>0.93370236452343</c:v>
                </c:pt>
                <c:pt idx="46">
                  <c:v>0.938900519039667</c:v>
                </c:pt>
                <c:pt idx="47">
                  <c:v>0.943709719830052</c:v>
                </c:pt>
                <c:pt idx="48">
                  <c:v>0.948156920520334</c:v>
                </c:pt>
                <c:pt idx="49">
                  <c:v>0.952267467115684</c:v>
                </c:pt>
                <c:pt idx="50">
                  <c:v>0.956065159881546</c:v>
                </c:pt>
                <c:pt idx="51">
                  <c:v>0.959572318005487</c:v>
                </c:pt>
                <c:pt idx="52">
                  <c:v>0.962809845950355</c:v>
                </c:pt>
                <c:pt idx="53">
                  <c:v>0.965797300591283</c:v>
                </c:pt>
                <c:pt idx="54">
                  <c:v>0.968552958386466</c:v>
                </c:pt>
                <c:pt idx="55">
                  <c:v>0.971093881967279</c:v>
                </c:pt>
                <c:pt idx="56">
                  <c:v>0.973435985649983</c:v>
                </c:pt>
                <c:pt idx="57">
                  <c:v>0.975594099471213</c:v>
                </c:pt>
                <c:pt idx="58">
                  <c:v>0.977582031434942</c:v>
                </c:pt>
                <c:pt idx="59">
                  <c:v>0.979412627731444</c:v>
                </c:pt>
                <c:pt idx="60">
                  <c:v>0.981097830750498</c:v>
                </c:pt>
                <c:pt idx="61">
                  <c:v>0.982648734763335</c:v>
                </c:pt>
                <c:pt idx="62">
                  <c:v>0.984075639191651</c:v>
                </c:pt>
                <c:pt idx="63">
                  <c:v>0.985388099418671</c:v>
                </c:pt>
                <c:pt idx="64">
                  <c:v>0.986594975127689</c:v>
                </c:pt>
                <c:pt idx="65">
                  <c:v>0.987704476178513</c:v>
                </c:pt>
                <c:pt idx="66">
                  <c:v>0.988724206052668</c:v>
                </c:pt>
                <c:pt idx="67">
                  <c:v>0.989661202914636</c:v>
                </c:pt>
                <c:pt idx="68">
                  <c:v>0.990521978349414</c:v>
                </c:pt>
                <c:pt idx="69">
                  <c:v>0.99131255384681</c:v>
                </c:pt>
                <c:pt idx="70">
                  <c:v>0.992038495110517</c:v>
                </c:pt>
                <c:pt idx="71">
                  <c:v>0.992704944275564</c:v>
                </c:pt>
                <c:pt idx="72">
                  <c:v>0.993316650121546</c:v>
                </c:pt>
                <c:pt idx="73">
                  <c:v>0.993877996371311</c:v>
                </c:pt>
                <c:pt idx="74">
                  <c:v>0.994393028165891</c:v>
                </c:pt>
                <c:pt idx="75">
                  <c:v>0.994865476806511</c:v>
                </c:pt>
                <c:pt idx="76">
                  <c:v>0.995298782853743</c:v>
                </c:pt>
                <c:pt idx="77">
                  <c:v>0.995696117672411</c:v>
                </c:pt>
                <c:pt idx="78">
                  <c:v>0.996060403508885</c:v>
                </c:pt>
                <c:pt idx="79">
                  <c:v>0.996394332184978</c:v>
                </c:pt>
                <c:pt idx="80">
                  <c:v>0.996700382489914</c:v>
                </c:pt>
                <c:pt idx="81">
                  <c:v>0.996980836348877</c:v>
                </c:pt>
                <c:pt idx="82">
                  <c:v>0.997237793843482</c:v>
                </c:pt>
                <c:pt idx="83">
                  <c:v>0.997473187156256</c:v>
                </c:pt>
                <c:pt idx="84">
                  <c:v>0.997688793507896</c:v>
                </c:pt>
                <c:pt idx="85">
                  <c:v>0.997886247152719</c:v>
                </c:pt>
                <c:pt idx="86">
                  <c:v>0.998067050494399</c:v>
                </c:pt>
                <c:pt idx="87">
                  <c:v>0.998232584380791</c:v>
                </c:pt>
                <c:pt idx="88">
                  <c:v>0.99838411763342</c:v>
                </c:pt>
                <c:pt idx="89">
                  <c:v>0.998522815864064</c:v>
                </c:pt>
                <c:pt idx="90">
                  <c:v>0.998649749627828</c:v>
                </c:pt>
                <c:pt idx="91">
                  <c:v>0.998765901959133</c:v>
                </c:pt>
                <c:pt idx="92">
                  <c:v>0.99887217533425</c:v>
                </c:pt>
                <c:pt idx="93">
                  <c:v>0.998969398101262</c:v>
                </c:pt>
                <c:pt idx="94">
                  <c:v>0.999058330415775</c:v>
                </c:pt>
                <c:pt idx="95">
                  <c:v>0.999139669718211</c:v>
                </c:pt>
                <c:pt idx="96">
                  <c:v>0.999214055786179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6721672"/>
        <c:axId val="-2136718568"/>
      </c:scatterChart>
      <c:valAx>
        <c:axId val="-2136721672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-2136718568"/>
        <c:crosses val="autoZero"/>
        <c:crossBetween val="midCat"/>
      </c:valAx>
      <c:valAx>
        <c:axId val="-2136718568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-21367216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114300</xdr:colOff>
      <xdr:row>1</xdr:row>
      <xdr:rowOff>38100</xdr:rowOff>
    </xdr:from>
    <xdr:to>
      <xdr:col>28</xdr:col>
      <xdr:colOff>0</xdr:colOff>
      <xdr:row>22</xdr:row>
      <xdr:rowOff>139700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114300</xdr:colOff>
      <xdr:row>23</xdr:row>
      <xdr:rowOff>139700</xdr:rowOff>
    </xdr:from>
    <xdr:to>
      <xdr:col>28</xdr:col>
      <xdr:colOff>12700</xdr:colOff>
      <xdr:row>46</xdr:row>
      <xdr:rowOff>127000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101"/>
  <sheetViews>
    <sheetView tabSelected="1" topLeftCell="E1" workbookViewId="0">
      <selection activeCell="L11" sqref="L11"/>
    </sheetView>
  </sheetViews>
  <sheetFormatPr baseColWidth="10" defaultRowHeight="15" x14ac:dyDescent="0"/>
  <cols>
    <col min="1" max="1" width="2.1640625" customWidth="1"/>
    <col min="4" max="4" width="2.5" customWidth="1"/>
    <col min="7" max="7" width="2.5" customWidth="1"/>
    <col min="10" max="10" width="2.1640625" customWidth="1"/>
    <col min="13" max="13" width="2.1640625" customWidth="1"/>
    <col min="16" max="16" width="2.1640625" customWidth="1"/>
  </cols>
  <sheetData>
    <row r="1" spans="2:18" ht="16">
      <c r="B1" s="8" t="s">
        <v>2</v>
      </c>
    </row>
    <row r="2" spans="2:18" ht="16">
      <c r="B2" s="8" t="s">
        <v>0</v>
      </c>
      <c r="C2" t="s">
        <v>3</v>
      </c>
      <c r="E2" s="3">
        <v>2</v>
      </c>
      <c r="F2" t="s">
        <v>4</v>
      </c>
      <c r="H2" s="3">
        <v>3</v>
      </c>
      <c r="I2" t="s">
        <v>4</v>
      </c>
      <c r="K2" s="3">
        <v>4</v>
      </c>
      <c r="L2" t="s">
        <v>4</v>
      </c>
      <c r="N2" s="3">
        <v>5</v>
      </c>
      <c r="O2" t="s">
        <v>4</v>
      </c>
      <c r="Q2" s="3">
        <v>6</v>
      </c>
      <c r="R2" t="s">
        <v>4</v>
      </c>
    </row>
    <row r="3" spans="2:18" ht="16">
      <c r="C3" t="s">
        <v>1</v>
      </c>
      <c r="E3" s="3">
        <v>2</v>
      </c>
      <c r="F3">
        <f>1/E3</f>
        <v>0.5</v>
      </c>
      <c r="H3" s="3">
        <v>1.5</v>
      </c>
      <c r="I3">
        <f>1/H3</f>
        <v>0.66666666666666663</v>
      </c>
      <c r="K3" s="3">
        <v>1.5</v>
      </c>
      <c r="L3">
        <f>1/K3</f>
        <v>0.66666666666666663</v>
      </c>
      <c r="N3" s="3">
        <v>1.5</v>
      </c>
      <c r="O3">
        <f>1/N3</f>
        <v>0.66666666666666663</v>
      </c>
      <c r="Q3" s="3">
        <v>1.5</v>
      </c>
      <c r="R3">
        <f>1/Q3</f>
        <v>0.66666666666666663</v>
      </c>
    </row>
    <row r="4" spans="2:18" ht="16">
      <c r="B4" s="1"/>
      <c r="C4" s="1"/>
      <c r="E4" s="1" t="str">
        <f>"G(a="&amp;E2&amp;";b=0;t="&amp;E3&amp;")-PDF"</f>
        <v>G(a=2;b=0;t=2)-PDF</v>
      </c>
      <c r="F4" s="1" t="str">
        <f>"G(a="&amp;E2&amp;";b=0;t="&amp;E3&amp;")-CDF"</f>
        <v>G(a=2;b=0;t=2)-CDF</v>
      </c>
      <c r="H4" s="1" t="str">
        <f>"G(a="&amp;H2&amp;";b=0;t="&amp;H3&amp;")-PDF"</f>
        <v>G(a=3;b=0;t=1.5)-PDF</v>
      </c>
      <c r="I4" s="1" t="str">
        <f>"G(a="&amp;H2&amp;";b=0;t="&amp;H3&amp;")-CDF"</f>
        <v>G(a=3;b=0;t=1.5)-CDF</v>
      </c>
      <c r="K4" s="1" t="str">
        <f>"G(a="&amp;K2&amp;";b=0;t="&amp;K3&amp;")-PDF"</f>
        <v>G(a=4;b=0;t=1.5)-PDF</v>
      </c>
      <c r="L4" s="1" t="str">
        <f>"G(a="&amp;K2&amp;";b=0;t="&amp;K3&amp;")-CDF"</f>
        <v>G(a=4;b=0;t=1.5)-CDF</v>
      </c>
      <c r="N4" s="1" t="str">
        <f>"G(a="&amp;N2&amp;";b=0;t="&amp;N3&amp;")-PDF"</f>
        <v>G(a=5;b=0;t=1.5)-PDF</v>
      </c>
      <c r="O4" s="1" t="str">
        <f>"G(a="&amp;N2&amp;";b=0;t="&amp;N3&amp;")-CDF"</f>
        <v>G(a=5;b=0;t=1.5)-CDF</v>
      </c>
      <c r="Q4" s="1" t="str">
        <f>"G(a="&amp;Q2&amp;";b=0;t="&amp;Q3&amp;")-PDF"</f>
        <v>G(a=6;b=0;t=1.5)-PDF</v>
      </c>
      <c r="R4" s="1" t="str">
        <f>"G(a="&amp;Q2&amp;";b=0;t="&amp;Q3&amp;")-CDF"</f>
        <v>G(a=6;b=0;t=1.5)-CDF</v>
      </c>
    </row>
    <row r="5" spans="2:18">
      <c r="B5">
        <v>1</v>
      </c>
      <c r="C5" s="4">
        <v>-0.2</v>
      </c>
      <c r="E5" s="6" t="e">
        <f>_xlfn.GAMMA.DIST($C5,E$2,E$3,0)</f>
        <v>#NUM!</v>
      </c>
      <c r="F5" s="6" t="e">
        <f>_xlfn.GAMMA.DIST($C5,E$2,E$3,1)</f>
        <v>#NUM!</v>
      </c>
      <c r="G5" s="6"/>
      <c r="H5" s="6" t="e">
        <f>_xlfn.GAMMA.DIST($C5,H$2,H$3,0)</f>
        <v>#NUM!</v>
      </c>
      <c r="I5" s="6" t="e">
        <f>_xlfn.GAMMA.DIST($C5,H$2,H$3,1)</f>
        <v>#NUM!</v>
      </c>
      <c r="J5" s="6"/>
      <c r="K5" s="6" t="e">
        <f>_xlfn.GAMMA.DIST($C5,K$2,K$3,0)</f>
        <v>#NUM!</v>
      </c>
      <c r="L5" s="6" t="e">
        <f>_xlfn.GAMMA.DIST($C5,K$2,K$3,1)</f>
        <v>#NUM!</v>
      </c>
      <c r="M5" s="6"/>
      <c r="N5" s="6" t="e">
        <f>_xlfn.GAMMA.DIST($C5,N$2,N$3,0)</f>
        <v>#NUM!</v>
      </c>
      <c r="O5" s="6" t="e">
        <f>_xlfn.GAMMA.DIST($C5,N$2,N$3,1)</f>
        <v>#NUM!</v>
      </c>
      <c r="P5" s="6"/>
      <c r="Q5" s="6" t="e">
        <f>_xlfn.GAMMA.DIST($C5,Q$2,Q$3,0)</f>
        <v>#NUM!</v>
      </c>
      <c r="R5" s="6" t="e">
        <f>_xlfn.GAMMA.DIST($C5,Q$2,Q$3,1)</f>
        <v>#NUM!</v>
      </c>
    </row>
    <row r="6" spans="2:18">
      <c r="B6" s="2">
        <f t="shared" ref="B6:B11" si="0">B5+1</f>
        <v>2</v>
      </c>
      <c r="C6" s="5">
        <f t="shared" ref="C6:C11" si="1">C5+0.2</f>
        <v>0</v>
      </c>
      <c r="D6" s="2"/>
      <c r="E6" s="7">
        <f t="shared" ref="E6:E101" si="2">_xlfn.GAMMA.DIST($C6,E$2,E$3,0)</f>
        <v>0</v>
      </c>
      <c r="F6" s="7">
        <f t="shared" ref="F6:F101" si="3">_xlfn.GAMMA.DIST($C6,E$2,E$3,1)</f>
        <v>0</v>
      </c>
      <c r="G6" s="7"/>
      <c r="H6" s="7">
        <f t="shared" ref="H6:H101" si="4">_xlfn.GAMMA.DIST($C6,H$2,H$3,0)</f>
        <v>0</v>
      </c>
      <c r="I6" s="7">
        <f t="shared" ref="I6:I101" si="5">_xlfn.GAMMA.DIST($C6,H$2,H$3,1)</f>
        <v>0</v>
      </c>
      <c r="J6" s="7"/>
      <c r="K6" s="7">
        <f t="shared" ref="K6:K101" si="6">_xlfn.GAMMA.DIST($C6,K$2,K$3,0)</f>
        <v>0</v>
      </c>
      <c r="L6" s="7">
        <f t="shared" ref="L6:L101" si="7">_xlfn.GAMMA.DIST($C6,K$2,K$3,1)</f>
        <v>0</v>
      </c>
      <c r="M6" s="7"/>
      <c r="N6" s="7">
        <f t="shared" ref="N6:N101" si="8">_xlfn.GAMMA.DIST($C6,N$2,N$3,0)</f>
        <v>0</v>
      </c>
      <c r="O6" s="7">
        <f t="shared" ref="O6:O101" si="9">_xlfn.GAMMA.DIST($C6,N$2,N$3,1)</f>
        <v>0</v>
      </c>
      <c r="P6" s="7"/>
      <c r="Q6" s="7">
        <f t="shared" ref="Q6:Q101" si="10">_xlfn.GAMMA.DIST($C6,Q$2,Q$3,0)</f>
        <v>0</v>
      </c>
      <c r="R6" s="7">
        <f t="shared" ref="R6:R101" si="11">_xlfn.GAMMA.DIST($C6,Q$2,Q$3,1)</f>
        <v>0</v>
      </c>
    </row>
    <row r="7" spans="2:18">
      <c r="B7">
        <f t="shared" si="0"/>
        <v>3</v>
      </c>
      <c r="C7" s="4">
        <f t="shared" si="1"/>
        <v>0.2</v>
      </c>
      <c r="E7" s="6">
        <f t="shared" si="2"/>
        <v>4.5241870901797994E-2</v>
      </c>
      <c r="F7" s="6">
        <f t="shared" si="3"/>
        <v>4.6788401604444712E-3</v>
      </c>
      <c r="G7" s="6"/>
      <c r="H7" s="6">
        <f t="shared" si="4"/>
        <v>5.1862122609952488E-3</v>
      </c>
      <c r="I7" s="6">
        <f t="shared" si="5"/>
        <v>3.5758669316668634E-4</v>
      </c>
      <c r="J7" s="6"/>
      <c r="K7" s="6">
        <f t="shared" si="6"/>
        <v>2.3049832271089979E-4</v>
      </c>
      <c r="L7" s="6">
        <f t="shared" si="7"/>
        <v>1.1839209100336275E-5</v>
      </c>
      <c r="M7" s="6"/>
      <c r="N7" s="6">
        <f t="shared" si="8"/>
        <v>7.6832774236966598E-6</v>
      </c>
      <c r="O7" s="6">
        <f t="shared" si="9"/>
        <v>3.1429296479128351E-7</v>
      </c>
      <c r="P7" s="6"/>
      <c r="Q7" s="6">
        <f t="shared" si="10"/>
        <v>2.0488739796524445E-7</v>
      </c>
      <c r="R7" s="6">
        <f t="shared" si="11"/>
        <v>6.9618678434170913E-9</v>
      </c>
    </row>
    <row r="8" spans="2:18">
      <c r="B8">
        <f t="shared" si="0"/>
        <v>4</v>
      </c>
      <c r="C8" s="4">
        <f t="shared" si="1"/>
        <v>0.4</v>
      </c>
      <c r="E8" s="6">
        <f t="shared" si="2"/>
        <v>8.1873075307798193E-2</v>
      </c>
      <c r="F8" s="6">
        <f t="shared" si="3"/>
        <v>1.7523096306421772E-2</v>
      </c>
      <c r="G8" s="6"/>
      <c r="H8" s="6">
        <f t="shared" si="4"/>
        <v>1.8155338390865753E-2</v>
      </c>
      <c r="I8" s="6">
        <f t="shared" si="5"/>
        <v>2.5910971518130358E-3</v>
      </c>
      <c r="J8" s="6"/>
      <c r="K8" s="6">
        <f t="shared" si="6"/>
        <v>1.6138078569658439E-3</v>
      </c>
      <c r="L8" s="6">
        <f t="shared" si="7"/>
        <v>1.7038536636426938E-4</v>
      </c>
      <c r="M8" s="6"/>
      <c r="N8" s="6">
        <f t="shared" si="8"/>
        <v>1.0758719046438957E-4</v>
      </c>
      <c r="O8" s="6">
        <f t="shared" si="9"/>
        <v>9.0045806676850561E-6</v>
      </c>
      <c r="P8" s="6"/>
      <c r="Q8" s="6">
        <f t="shared" si="10"/>
        <v>5.7379834914341123E-6</v>
      </c>
      <c r="R8" s="6">
        <f t="shared" si="11"/>
        <v>3.9760543053388981E-7</v>
      </c>
    </row>
    <row r="9" spans="2:18">
      <c r="B9">
        <f t="shared" si="0"/>
        <v>5</v>
      </c>
      <c r="C9" s="4">
        <f t="shared" si="1"/>
        <v>0.60000000000000009</v>
      </c>
      <c r="E9" s="6">
        <f t="shared" si="2"/>
        <v>0.11112273310225769</v>
      </c>
      <c r="F9" s="6">
        <f t="shared" si="3"/>
        <v>3.6936313113766786E-2</v>
      </c>
      <c r="G9" s="6"/>
      <c r="H9" s="6">
        <f t="shared" si="4"/>
        <v>3.5750402455234108E-2</v>
      </c>
      <c r="I9" s="6">
        <f t="shared" si="5"/>
        <v>7.9263318672538399E-3</v>
      </c>
      <c r="J9" s="6"/>
      <c r="K9" s="6">
        <f t="shared" si="6"/>
        <v>4.7667203273645473E-3</v>
      </c>
      <c r="L9" s="6">
        <f t="shared" si="7"/>
        <v>7.7625137620701589E-4</v>
      </c>
      <c r="M9" s="6"/>
      <c r="N9" s="6">
        <f t="shared" si="8"/>
        <v>4.7667203273645491E-4</v>
      </c>
      <c r="O9" s="6">
        <f t="shared" si="9"/>
        <v>6.1243327102333809E-5</v>
      </c>
      <c r="P9" s="6"/>
      <c r="Q9" s="6">
        <f t="shared" si="10"/>
        <v>3.813376261891641E-5</v>
      </c>
      <c r="R9" s="6">
        <f t="shared" si="11"/>
        <v>4.0426831739592209E-6</v>
      </c>
    </row>
    <row r="10" spans="2:18">
      <c r="B10">
        <f t="shared" si="0"/>
        <v>6</v>
      </c>
      <c r="C10" s="4">
        <f t="shared" si="1"/>
        <v>0.8</v>
      </c>
      <c r="E10" s="6">
        <f t="shared" si="2"/>
        <v>0.13406400920712785</v>
      </c>
      <c r="F10" s="6">
        <f t="shared" si="3"/>
        <v>6.1551935550104991E-2</v>
      </c>
      <c r="G10" s="6"/>
      <c r="H10" s="6">
        <f t="shared" si="4"/>
        <v>5.5622752664654856E-2</v>
      </c>
      <c r="I10" s="6">
        <f t="shared" si="5"/>
        <v>1.7041667754302308E-2</v>
      </c>
      <c r="J10" s="6"/>
      <c r="K10" s="6">
        <f t="shared" si="6"/>
        <v>9.8884893626053037E-3</v>
      </c>
      <c r="L10" s="6">
        <f t="shared" si="7"/>
        <v>2.2089337103943438E-3</v>
      </c>
      <c r="M10" s="6"/>
      <c r="N10" s="6">
        <f t="shared" si="8"/>
        <v>1.3184652483473744E-3</v>
      </c>
      <c r="O10" s="6">
        <f t="shared" si="9"/>
        <v>2.3123583787328314E-4</v>
      </c>
      <c r="P10" s="6"/>
      <c r="Q10" s="6">
        <f t="shared" si="10"/>
        <v>1.4063629315705324E-4</v>
      </c>
      <c r="R10" s="6">
        <f t="shared" si="11"/>
        <v>2.0281398137703207E-5</v>
      </c>
    </row>
    <row r="11" spans="2:18">
      <c r="B11" s="2">
        <f t="shared" si="0"/>
        <v>7</v>
      </c>
      <c r="C11" s="5">
        <f t="shared" si="1"/>
        <v>1</v>
      </c>
      <c r="D11" s="2"/>
      <c r="E11" s="7">
        <f t="shared" si="2"/>
        <v>0.15163266492815836</v>
      </c>
      <c r="F11" s="7">
        <f t="shared" si="3"/>
        <v>9.0204010431049864E-2</v>
      </c>
      <c r="G11" s="7"/>
      <c r="H11" s="7">
        <f t="shared" si="4"/>
        <v>7.6061795412235844E-2</v>
      </c>
      <c r="I11" s="7">
        <f t="shared" si="5"/>
        <v>3.0212108493992827E-2</v>
      </c>
      <c r="J11" s="7"/>
      <c r="K11" s="7">
        <f t="shared" si="6"/>
        <v>1.6902621202719074E-2</v>
      </c>
      <c r="L11" s="7">
        <f t="shared" si="7"/>
        <v>4.8581766899142183E-3</v>
      </c>
      <c r="M11" s="7"/>
      <c r="N11" s="7">
        <f t="shared" si="8"/>
        <v>2.8171035337865129E-3</v>
      </c>
      <c r="O11" s="7">
        <f t="shared" si="9"/>
        <v>6.3252138923444983E-4</v>
      </c>
      <c r="P11" s="7"/>
      <c r="Q11" s="7">
        <f t="shared" si="10"/>
        <v>3.7561380450486817E-4</v>
      </c>
      <c r="R11" s="7">
        <f t="shared" si="11"/>
        <v>6.9100682477147074E-5</v>
      </c>
    </row>
    <row r="12" spans="2:18">
      <c r="B12">
        <f t="shared" ref="B12:B51" si="12">B11+1</f>
        <v>8</v>
      </c>
      <c r="C12" s="4">
        <f t="shared" ref="C12:C17" si="13">C11+0.2</f>
        <v>1.2</v>
      </c>
      <c r="E12" s="6">
        <f t="shared" si="2"/>
        <v>0.16464349082820789</v>
      </c>
      <c r="F12" s="6">
        <f t="shared" si="3"/>
        <v>0.12190138224955763</v>
      </c>
      <c r="G12" s="6"/>
      <c r="H12" s="6">
        <f t="shared" si="4"/>
        <v>9.5856845678340574E-2</v>
      </c>
      <c r="I12" s="6">
        <f t="shared" si="5"/>
        <v>4.7422596071490207E-2</v>
      </c>
      <c r="J12" s="6"/>
      <c r="K12" s="6">
        <f t="shared" si="6"/>
        <v>2.5561825514224149E-2</v>
      </c>
      <c r="L12" s="6">
        <f t="shared" si="7"/>
        <v>9.0798578001539797E-3</v>
      </c>
      <c r="M12" s="6"/>
      <c r="N12" s="6">
        <f t="shared" si="8"/>
        <v>5.1123651028448305E-3</v>
      </c>
      <c r="O12" s="6">
        <f t="shared" si="9"/>
        <v>1.4113101458867348E-3</v>
      </c>
      <c r="P12" s="6"/>
      <c r="Q12" s="6">
        <f t="shared" si="10"/>
        <v>8.1797841645517256E-4</v>
      </c>
      <c r="R12" s="6">
        <f t="shared" si="11"/>
        <v>1.8434252120397523E-4</v>
      </c>
    </row>
    <row r="13" spans="2:18">
      <c r="B13">
        <f t="shared" si="12"/>
        <v>9</v>
      </c>
      <c r="C13" s="4">
        <f t="shared" si="13"/>
        <v>1.4</v>
      </c>
      <c r="E13" s="6">
        <f t="shared" si="2"/>
        <v>0.1738048563269933</v>
      </c>
      <c r="F13" s="6">
        <f t="shared" si="3"/>
        <v>0.15580498355460379</v>
      </c>
      <c r="G13" s="6"/>
      <c r="H13" s="6">
        <f t="shared" si="4"/>
        <v>0.1141854537633263</v>
      </c>
      <c r="I13" s="6">
        <f t="shared" si="5"/>
        <v>6.8456425675720536E-2</v>
      </c>
      <c r="J13" s="6"/>
      <c r="K13" s="6">
        <f t="shared" si="6"/>
        <v>3.5524363393034837E-2</v>
      </c>
      <c r="L13" s="6">
        <f t="shared" si="7"/>
        <v>1.5169880586168277E-2</v>
      </c>
      <c r="M13" s="6"/>
      <c r="N13" s="6">
        <f t="shared" si="8"/>
        <v>8.2890181250414637E-3</v>
      </c>
      <c r="O13" s="6">
        <f t="shared" si="9"/>
        <v>2.7363533986060891E-3</v>
      </c>
      <c r="P13" s="6"/>
      <c r="Q13" s="6">
        <f t="shared" si="10"/>
        <v>1.5472833833410722E-3</v>
      </c>
      <c r="R13" s="6">
        <f t="shared" si="11"/>
        <v>4.1542832359447898E-4</v>
      </c>
    </row>
    <row r="14" spans="2:18">
      <c r="B14">
        <f t="shared" si="12"/>
        <v>10</v>
      </c>
      <c r="C14" s="4">
        <f t="shared" si="13"/>
        <v>1.5999999999999999</v>
      </c>
      <c r="E14" s="6">
        <f t="shared" si="2"/>
        <v>0.17973158564688857</v>
      </c>
      <c r="F14" s="6">
        <f t="shared" si="3"/>
        <v>0.19120786458900102</v>
      </c>
      <c r="G14" s="6"/>
      <c r="H14" s="6">
        <f t="shared" si="4"/>
        <v>0.13052351027784531</v>
      </c>
      <c r="I14" s="6">
        <f t="shared" si="5"/>
        <v>9.2963575061379838E-2</v>
      </c>
      <c r="J14" s="6"/>
      <c r="K14" s="6">
        <f t="shared" si="6"/>
        <v>4.6408359209900538E-2</v>
      </c>
      <c r="L14" s="6">
        <f t="shared" si="7"/>
        <v>2.3351036246528956E-2</v>
      </c>
      <c r="M14" s="6"/>
      <c r="N14" s="6">
        <f t="shared" si="8"/>
        <v>1.2375562455973484E-2</v>
      </c>
      <c r="O14" s="6">
        <f t="shared" si="9"/>
        <v>4.7876925625687482E-3</v>
      </c>
      <c r="P14" s="6"/>
      <c r="Q14" s="6">
        <f t="shared" si="10"/>
        <v>2.6401199906076751E-3</v>
      </c>
      <c r="R14" s="6">
        <f t="shared" si="11"/>
        <v>8.2751257665723452E-4</v>
      </c>
    </row>
    <row r="15" spans="2:18">
      <c r="B15">
        <f t="shared" si="12"/>
        <v>11</v>
      </c>
      <c r="C15" s="4">
        <f t="shared" si="13"/>
        <v>1.7999999999999998</v>
      </c>
      <c r="E15" s="6">
        <f t="shared" si="2"/>
        <v>0.18295634688326956</v>
      </c>
      <c r="F15" s="6">
        <f t="shared" si="3"/>
        <v>0.22751764649286163</v>
      </c>
      <c r="G15" s="6"/>
      <c r="H15" s="6">
        <f t="shared" si="4"/>
        <v>0.14457322171785703</v>
      </c>
      <c r="I15" s="6">
        <f t="shared" si="5"/>
        <v>0.12051290121636986</v>
      </c>
      <c r="J15" s="6"/>
      <c r="K15" s="6">
        <f t="shared" si="6"/>
        <v>5.7829288687142787E-2</v>
      </c>
      <c r="L15" s="6">
        <f t="shared" si="7"/>
        <v>3.3768968185655675E-2</v>
      </c>
      <c r="M15" s="6"/>
      <c r="N15" s="6">
        <f t="shared" si="8"/>
        <v>1.7348786606142835E-2</v>
      </c>
      <c r="O15" s="6">
        <f t="shared" si="9"/>
        <v>7.7457882764414053E-3</v>
      </c>
      <c r="P15" s="6"/>
      <c r="Q15" s="6">
        <f t="shared" si="10"/>
        <v>4.163708785474284E-3</v>
      </c>
      <c r="R15" s="6">
        <f t="shared" si="11"/>
        <v>1.5002250982299908E-3</v>
      </c>
    </row>
    <row r="16" spans="2:18">
      <c r="B16" s="2">
        <f t="shared" si="12"/>
        <v>12</v>
      </c>
      <c r="C16" s="5">
        <f t="shared" si="13"/>
        <v>1.9999999999999998</v>
      </c>
      <c r="D16" s="2"/>
      <c r="E16" s="7">
        <f t="shared" si="2"/>
        <v>0.18393972058572111</v>
      </c>
      <c r="F16" s="7">
        <f t="shared" si="3"/>
        <v>0.26424111765711517</v>
      </c>
      <c r="G16" s="7"/>
      <c r="H16" s="7">
        <f t="shared" si="4"/>
        <v>0.1562057114759863</v>
      </c>
      <c r="I16" s="7">
        <f t="shared" si="5"/>
        <v>0.15063144384932486</v>
      </c>
      <c r="J16" s="7"/>
      <c r="K16" s="7">
        <f t="shared" si="6"/>
        <v>6.94247606559939E-2</v>
      </c>
      <c r="L16" s="7">
        <f t="shared" si="7"/>
        <v>4.6494302865334028E-2</v>
      </c>
      <c r="M16" s="7"/>
      <c r="N16" s="7">
        <f t="shared" si="8"/>
        <v>2.314158688533129E-2</v>
      </c>
      <c r="O16" s="7">
        <f t="shared" si="9"/>
        <v>1.1781922537337085E-2</v>
      </c>
      <c r="P16" s="7"/>
      <c r="Q16" s="7">
        <f t="shared" si="10"/>
        <v>6.1710898360883473E-3</v>
      </c>
      <c r="R16" s="7">
        <f t="shared" si="11"/>
        <v>2.5252877832045721E-3</v>
      </c>
    </row>
    <row r="17" spans="2:18">
      <c r="B17">
        <f t="shared" si="12"/>
        <v>13</v>
      </c>
      <c r="C17" s="4">
        <f t="shared" si="13"/>
        <v>2.1999999999999997</v>
      </c>
      <c r="E17" s="6">
        <f t="shared" si="2"/>
        <v>0.18307909603394376</v>
      </c>
      <c r="F17" s="6">
        <f t="shared" si="3"/>
        <v>0.30097072423403282</v>
      </c>
      <c r="G17" s="6"/>
      <c r="H17" s="6">
        <f t="shared" si="4"/>
        <v>0.16541555586874379</v>
      </c>
      <c r="I17" s="6">
        <f t="shared" si="5"/>
        <v>0.18283348330130952</v>
      </c>
      <c r="J17" s="6"/>
      <c r="K17" s="6">
        <f t="shared" si="6"/>
        <v>8.0869827313607992E-2</v>
      </c>
      <c r="L17" s="6">
        <f t="shared" si="7"/>
        <v>6.1528742330897328E-2</v>
      </c>
      <c r="M17" s="6"/>
      <c r="N17" s="6">
        <f t="shared" si="8"/>
        <v>2.9652270014989636E-2</v>
      </c>
      <c r="O17" s="6">
        <f t="shared" si="9"/>
        <v>1.7050337308412974E-2</v>
      </c>
      <c r="P17" s="6"/>
      <c r="Q17" s="6">
        <f t="shared" si="10"/>
        <v>8.6979992043969521E-3</v>
      </c>
      <c r="R17" s="6">
        <f t="shared" si="11"/>
        <v>4.0033385018175315E-3</v>
      </c>
    </row>
    <row r="18" spans="2:18">
      <c r="B18">
        <f t="shared" si="12"/>
        <v>14</v>
      </c>
      <c r="C18" s="4">
        <f t="shared" ref="C18:C51" si="14">C17+0.2</f>
        <v>2.4</v>
      </c>
      <c r="E18" s="6">
        <f t="shared" si="2"/>
        <v>0.18071652714732128</v>
      </c>
      <c r="F18" s="6">
        <f t="shared" si="3"/>
        <v>0.33737273379315535</v>
      </c>
      <c r="G18" s="6"/>
      <c r="H18" s="6">
        <f t="shared" si="4"/>
        <v>0.17228502868877266</v>
      </c>
      <c r="I18" s="6">
        <f t="shared" si="5"/>
        <v>0.21664151018073699</v>
      </c>
      <c r="J18" s="6"/>
      <c r="K18" s="6">
        <f t="shared" si="6"/>
        <v>9.1885348634012098E-2</v>
      </c>
      <c r="L18" s="6">
        <f t="shared" si="7"/>
        <v>7.8813487229718926E-2</v>
      </c>
      <c r="M18" s="6"/>
      <c r="N18" s="6">
        <f t="shared" si="8"/>
        <v>3.6754139453604805E-2</v>
      </c>
      <c r="O18" s="6">
        <f t="shared" si="9"/>
        <v>2.3682278049311663E-2</v>
      </c>
      <c r="P18" s="6"/>
      <c r="Q18" s="6">
        <f t="shared" si="10"/>
        <v>1.1761324625153551E-2</v>
      </c>
      <c r="R18" s="6">
        <f t="shared" si="11"/>
        <v>6.0402911115813732E-3</v>
      </c>
    </row>
    <row r="19" spans="2:18">
      <c r="B19">
        <f t="shared" si="12"/>
        <v>15</v>
      </c>
      <c r="C19" s="4">
        <f t="shared" si="14"/>
        <v>2.6</v>
      </c>
      <c r="E19" s="6">
        <f t="shared" si="2"/>
        <v>0.17714566547210825</v>
      </c>
      <c r="F19" s="6">
        <f t="shared" si="3"/>
        <v>0.37317687602177113</v>
      </c>
      <c r="G19" s="6"/>
      <c r="H19" s="6">
        <f t="shared" si="4"/>
        <v>0.1769562153058658</v>
      </c>
      <c r="I19" s="6">
        <f t="shared" si="5"/>
        <v>0.251600858639837</v>
      </c>
      <c r="J19" s="6"/>
      <c r="K19" s="6">
        <f t="shared" si="6"/>
        <v>0.10224136884338916</v>
      </c>
      <c r="L19" s="6">
        <f t="shared" si="7"/>
        <v>9.823880537475331E-2</v>
      </c>
      <c r="M19" s="6"/>
      <c r="N19" s="6">
        <f t="shared" si="8"/>
        <v>4.4304593165468593E-2</v>
      </c>
      <c r="O19" s="6">
        <f t="shared" si="9"/>
        <v>3.1781915626550319E-2</v>
      </c>
      <c r="P19" s="6"/>
      <c r="Q19" s="6">
        <f t="shared" si="10"/>
        <v>1.5358925630695798E-2</v>
      </c>
      <c r="R19" s="6">
        <f t="shared" si="11"/>
        <v>8.7435271805066574E-3</v>
      </c>
    </row>
    <row r="20" spans="2:18">
      <c r="B20">
        <f t="shared" si="12"/>
        <v>16</v>
      </c>
      <c r="C20" s="4">
        <f t="shared" si="14"/>
        <v>2.8000000000000003</v>
      </c>
      <c r="E20" s="6">
        <f t="shared" si="2"/>
        <v>0.17261787475912455</v>
      </c>
      <c r="F20" s="6">
        <f t="shared" si="3"/>
        <v>0.40816728654014461</v>
      </c>
      <c r="G20" s="6"/>
      <c r="H20" s="6">
        <f t="shared" si="4"/>
        <v>0.17960948060239379</v>
      </c>
      <c r="I20" s="6">
        <f t="shared" si="5"/>
        <v>0.28728942072187913</v>
      </c>
      <c r="J20" s="6"/>
      <c r="K20" s="6">
        <f t="shared" si="6"/>
        <v>0.11175701015260063</v>
      </c>
      <c r="L20" s="6">
        <f t="shared" si="7"/>
        <v>0.11965390549297825</v>
      </c>
      <c r="M20" s="6"/>
      <c r="N20" s="6">
        <f t="shared" si="8"/>
        <v>5.2153271404546932E-2</v>
      </c>
      <c r="O20" s="6">
        <f t="shared" si="9"/>
        <v>4.1423998386157734E-2</v>
      </c>
      <c r="P20" s="6"/>
      <c r="Q20" s="6">
        <f t="shared" si="10"/>
        <v>1.9470554657697516E-2</v>
      </c>
      <c r="R20" s="6">
        <f t="shared" si="11"/>
        <v>1.2218166399611456E-2</v>
      </c>
    </row>
    <row r="21" spans="2:18">
      <c r="B21" s="2">
        <f t="shared" ref="B21:B26" si="15">B20+1</f>
        <v>17</v>
      </c>
      <c r="C21" s="5">
        <f t="shared" si="14"/>
        <v>3.0000000000000004</v>
      </c>
      <c r="D21" s="2"/>
      <c r="E21" s="7">
        <f t="shared" si="2"/>
        <v>0.1673476201113224</v>
      </c>
      <c r="F21" s="7">
        <f t="shared" si="3"/>
        <v>0.44217459962892547</v>
      </c>
      <c r="G21" s="7"/>
      <c r="H21" s="7">
        <f t="shared" si="4"/>
        <v>0.18044704431548361</v>
      </c>
      <c r="I21" s="7">
        <f t="shared" si="5"/>
        <v>0.3233235838169366</v>
      </c>
      <c r="J21" s="7"/>
      <c r="K21" s="7">
        <f t="shared" si="6"/>
        <v>0.12029802954365579</v>
      </c>
      <c r="L21" s="7">
        <f t="shared" si="7"/>
        <v>0.1428765395014531</v>
      </c>
      <c r="M21" s="7"/>
      <c r="N21" s="7">
        <f t="shared" si="8"/>
        <v>6.014901477182788E-2</v>
      </c>
      <c r="O21" s="7">
        <f t="shared" si="9"/>
        <v>5.2653017343711174E-2</v>
      </c>
      <c r="P21" s="7"/>
      <c r="Q21" s="7">
        <f t="shared" si="10"/>
        <v>2.4059605908731171E-2</v>
      </c>
      <c r="R21" s="7">
        <f t="shared" si="11"/>
        <v>1.6563608480614458E-2</v>
      </c>
    </row>
    <row r="22" spans="2:18">
      <c r="B22">
        <f t="shared" si="15"/>
        <v>18</v>
      </c>
      <c r="C22" s="4">
        <f t="shared" si="14"/>
        <v>3.2000000000000006</v>
      </c>
      <c r="E22" s="6">
        <f t="shared" si="2"/>
        <v>0.16151721439572436</v>
      </c>
      <c r="F22" s="6">
        <f t="shared" si="3"/>
        <v>0.47506905321389609</v>
      </c>
      <c r="G22" s="6"/>
      <c r="H22" s="6">
        <f t="shared" si="4"/>
        <v>0.17968064134834816</v>
      </c>
      <c r="I22" s="6">
        <f t="shared" si="5"/>
        <v>0.35936130706755975</v>
      </c>
      <c r="J22" s="6"/>
      <c r="K22" s="6">
        <f t="shared" si="6"/>
        <v>0.12777290051438098</v>
      </c>
      <c r="L22" s="6">
        <f t="shared" si="7"/>
        <v>0.16770195629598839</v>
      </c>
      <c r="M22" s="6"/>
      <c r="N22" s="6">
        <f t="shared" si="8"/>
        <v>6.8145546941003193E-2</v>
      </c>
      <c r="O22" s="6">
        <f t="shared" si="9"/>
        <v>6.5483635884483568E-2</v>
      </c>
      <c r="P22" s="6"/>
      <c r="Q22" s="6">
        <f t="shared" si="10"/>
        <v>2.907543336149469E-2</v>
      </c>
      <c r="R22" s="6">
        <f t="shared" si="11"/>
        <v>2.1870485842241515E-2</v>
      </c>
    </row>
    <row r="23" spans="2:18">
      <c r="B23">
        <f t="shared" si="15"/>
        <v>19</v>
      </c>
      <c r="C23" s="4">
        <f t="shared" si="14"/>
        <v>3.4000000000000008</v>
      </c>
      <c r="E23" s="6">
        <f t="shared" si="2"/>
        <v>0.15528099544482449</v>
      </c>
      <c r="F23" s="6">
        <f t="shared" si="3"/>
        <v>0.50675448505761678</v>
      </c>
      <c r="G23" s="6"/>
      <c r="H23" s="6">
        <f t="shared" si="4"/>
        <v>0.17752243062952031</v>
      </c>
      <c r="I23" s="6">
        <f t="shared" si="5"/>
        <v>0.39510306725806205</v>
      </c>
      <c r="J23" s="6"/>
      <c r="K23" s="6">
        <f t="shared" si="6"/>
        <v>0.13412805869785979</v>
      </c>
      <c r="L23" s="6">
        <f t="shared" si="7"/>
        <v>0.19391097921127229</v>
      </c>
      <c r="M23" s="6"/>
      <c r="N23" s="6">
        <f t="shared" si="8"/>
        <v>7.6005899928787216E-2</v>
      </c>
      <c r="O23" s="6">
        <f t="shared" si="9"/>
        <v>7.9902129318091458E-2</v>
      </c>
      <c r="P23" s="6"/>
      <c r="Q23" s="6">
        <f t="shared" si="10"/>
        <v>3.4456007967716897E-2</v>
      </c>
      <c r="R23" s="6">
        <f t="shared" si="11"/>
        <v>2.8218117366516152E-2</v>
      </c>
    </row>
    <row r="24" spans="2:18">
      <c r="B24">
        <f t="shared" si="15"/>
        <v>20</v>
      </c>
      <c r="C24" s="4">
        <f t="shared" si="14"/>
        <v>3.600000000000001</v>
      </c>
      <c r="E24" s="6">
        <f t="shared" si="2"/>
        <v>0.14876899939942786</v>
      </c>
      <c r="F24" s="6">
        <f t="shared" si="3"/>
        <v>0.53716311297955788</v>
      </c>
      <c r="G24" s="6"/>
      <c r="H24" s="6">
        <f t="shared" si="4"/>
        <v>0.17417847031567205</v>
      </c>
      <c r="I24" s="6">
        <f t="shared" si="5"/>
        <v>0.43029125334248974</v>
      </c>
      <c r="J24" s="6"/>
      <c r="K24" s="6">
        <f t="shared" si="6"/>
        <v>0.13934277625253771</v>
      </c>
      <c r="L24" s="6">
        <f t="shared" si="7"/>
        <v>0.22127708896368337</v>
      </c>
      <c r="M24" s="6"/>
      <c r="N24" s="6">
        <f t="shared" si="8"/>
        <v>8.3605665751522618E-2</v>
      </c>
      <c r="O24" s="6">
        <f t="shared" si="9"/>
        <v>9.5868590336399315E-2</v>
      </c>
      <c r="P24" s="6"/>
      <c r="Q24" s="6">
        <f t="shared" si="10"/>
        <v>4.0130719560730888E-2</v>
      </c>
      <c r="R24" s="6">
        <f t="shared" si="11"/>
        <v>3.5672510995303046E-2</v>
      </c>
    </row>
    <row r="25" spans="2:18">
      <c r="B25">
        <f t="shared" si="15"/>
        <v>21</v>
      </c>
      <c r="C25" s="4">
        <f t="shared" si="14"/>
        <v>3.8000000000000012</v>
      </c>
      <c r="E25" s="6">
        <f t="shared" si="2"/>
        <v>0.1420901882615033</v>
      </c>
      <c r="F25" s="6">
        <f t="shared" si="3"/>
        <v>0.56625100425435859</v>
      </c>
      <c r="G25" s="6"/>
      <c r="H25" s="6">
        <f t="shared" si="4"/>
        <v>0.16984420475274217</v>
      </c>
      <c r="I25" s="6">
        <f t="shared" si="5"/>
        <v>0.46470846549187755</v>
      </c>
      <c r="J25" s="6"/>
      <c r="K25" s="6">
        <f t="shared" si="6"/>
        <v>0.14342399512453782</v>
      </c>
      <c r="L25" s="6">
        <f t="shared" si="7"/>
        <v>0.24957247280507056</v>
      </c>
      <c r="M25" s="6"/>
      <c r="N25" s="6">
        <f t="shared" si="8"/>
        <v>9.0835196912207317E-2</v>
      </c>
      <c r="O25" s="6">
        <f t="shared" si="9"/>
        <v>0.11331967743675959</v>
      </c>
      <c r="P25" s="6"/>
      <c r="Q25" s="6">
        <f t="shared" si="10"/>
        <v>4.6023166435518369E-2</v>
      </c>
      <c r="R25" s="6">
        <f t="shared" si="11"/>
        <v>4.428492778348201E-2</v>
      </c>
    </row>
    <row r="26" spans="2:18">
      <c r="B26" s="2">
        <f t="shared" si="15"/>
        <v>22</v>
      </c>
      <c r="C26" s="5">
        <f t="shared" si="14"/>
        <v>4.0000000000000009</v>
      </c>
      <c r="D26" s="2"/>
      <c r="E26" s="7">
        <f t="shared" si="2"/>
        <v>0.1353352832366127</v>
      </c>
      <c r="F26" s="7">
        <f t="shared" si="3"/>
        <v>0.593994150290162</v>
      </c>
      <c r="G26" s="7"/>
      <c r="H26" s="7">
        <f t="shared" si="4"/>
        <v>0.16470151400960362</v>
      </c>
      <c r="I26" s="7">
        <f t="shared" si="5"/>
        <v>0.49817507450198895</v>
      </c>
      <c r="J26" s="7"/>
      <c r="K26" s="7">
        <f t="shared" si="6"/>
        <v>0.14640134578631439</v>
      </c>
      <c r="L26" s="7">
        <f t="shared" si="7"/>
        <v>0.27857305582251757</v>
      </c>
      <c r="M26" s="7"/>
      <c r="N26" s="7">
        <f t="shared" si="8"/>
        <v>9.7600897190876279E-2</v>
      </c>
      <c r="O26" s="7">
        <f t="shared" si="9"/>
        <v>0.13217171003620315</v>
      </c>
      <c r="P26" s="7"/>
      <c r="Q26" s="7">
        <f t="shared" si="10"/>
        <v>5.2053811835133981E-2</v>
      </c>
      <c r="R26" s="7">
        <f t="shared" si="11"/>
        <v>5.4090992283502094E-2</v>
      </c>
    </row>
    <row r="27" spans="2:18">
      <c r="B27">
        <f t="shared" si="12"/>
        <v>23</v>
      </c>
      <c r="C27" s="4">
        <f t="shared" si="14"/>
        <v>4.2000000000000011</v>
      </c>
      <c r="E27" s="6">
        <f t="shared" si="2"/>
        <v>0.128579249665631</v>
      </c>
      <c r="F27" s="6">
        <f t="shared" si="3"/>
        <v>0.62038507241575624</v>
      </c>
      <c r="G27" s="6"/>
      <c r="H27" s="6">
        <f t="shared" si="4"/>
        <v>0.15891696366056959</v>
      </c>
      <c r="I27" s="6">
        <f t="shared" si="5"/>
        <v>0.53054631653331774</v>
      </c>
      <c r="J27" s="6"/>
      <c r="K27" s="6">
        <f t="shared" si="6"/>
        <v>0.14832249941653167</v>
      </c>
      <c r="L27" s="6">
        <f t="shared" si="7"/>
        <v>0.30806256740852012</v>
      </c>
      <c r="M27" s="6"/>
      <c r="N27" s="6">
        <f t="shared" si="8"/>
        <v>0.10382574959157212</v>
      </c>
      <c r="O27" s="6">
        <f t="shared" si="9"/>
        <v>0.15232394302116162</v>
      </c>
      <c r="P27" s="6"/>
      <c r="Q27" s="6">
        <f t="shared" si="10"/>
        <v>5.814241977128045E-2</v>
      </c>
      <c r="R27" s="6">
        <f t="shared" si="11"/>
        <v>6.5110313364241099E-2</v>
      </c>
    </row>
    <row r="28" spans="2:18">
      <c r="B28">
        <f t="shared" si="12"/>
        <v>24</v>
      </c>
      <c r="C28" s="4">
        <f t="shared" si="14"/>
        <v>4.4000000000000012</v>
      </c>
      <c r="E28" s="6">
        <f t="shared" si="2"/>
        <v>0.12188347419856725</v>
      </c>
      <c r="F28" s="6">
        <f t="shared" si="3"/>
        <v>0.64542989324053179</v>
      </c>
      <c r="G28" s="6"/>
      <c r="H28" s="6">
        <f t="shared" si="4"/>
        <v>0.1526409639113363</v>
      </c>
      <c r="I28" s="6">
        <f t="shared" si="5"/>
        <v>0.56170913306657122</v>
      </c>
      <c r="J28" s="6"/>
      <c r="K28" s="6">
        <f t="shared" si="6"/>
        <v>0.14924894249108445</v>
      </c>
      <c r="L28" s="6">
        <f t="shared" si="7"/>
        <v>0.33783571932994472</v>
      </c>
      <c r="M28" s="6"/>
      <c r="N28" s="6">
        <f t="shared" si="8"/>
        <v>0.10944922449346194</v>
      </c>
      <c r="O28" s="6">
        <f t="shared" si="9"/>
        <v>0.17366188258975168</v>
      </c>
      <c r="P28" s="6"/>
      <c r="Q28" s="6">
        <f t="shared" si="10"/>
        <v>6.4210211702831005E-2</v>
      </c>
      <c r="R28" s="6">
        <f t="shared" si="11"/>
        <v>7.7346565035505105E-2</v>
      </c>
    </row>
    <row r="29" spans="2:18">
      <c r="B29">
        <f t="shared" si="12"/>
        <v>25</v>
      </c>
      <c r="C29" s="4">
        <f t="shared" si="14"/>
        <v>4.6000000000000014</v>
      </c>
      <c r="E29" s="6">
        <f t="shared" si="2"/>
        <v>0.11529767028122426</v>
      </c>
      <c r="F29" s="6">
        <f t="shared" si="3"/>
        <v>0.66914581571474785</v>
      </c>
      <c r="G29" s="6"/>
      <c r="H29" s="6">
        <f t="shared" si="4"/>
        <v>0.14600760573416785</v>
      </c>
      <c r="I29" s="6">
        <f t="shared" si="5"/>
        <v>0.59157891382772254</v>
      </c>
      <c r="J29" s="6"/>
      <c r="K29" s="6">
        <f t="shared" si="6"/>
        <v>0.1492522191949272</v>
      </c>
      <c r="L29" s="6">
        <f t="shared" si="7"/>
        <v>0.36770058503533182</v>
      </c>
      <c r="M29" s="6"/>
      <c r="N29" s="6">
        <f t="shared" si="8"/>
        <v>0.11442670138277752</v>
      </c>
      <c r="O29" s="6">
        <f t="shared" si="9"/>
        <v>0.19606053296116541</v>
      </c>
      <c r="P29" s="6"/>
      <c r="Q29" s="6">
        <f t="shared" si="10"/>
        <v>7.0181710181436943E-2</v>
      </c>
      <c r="R29" s="6">
        <f t="shared" si="11"/>
        <v>9.078796768901011E-2</v>
      </c>
    </row>
    <row r="30" spans="2:18">
      <c r="B30">
        <f t="shared" si="12"/>
        <v>26</v>
      </c>
      <c r="C30" s="4">
        <f t="shared" si="14"/>
        <v>4.8000000000000016</v>
      </c>
      <c r="E30" s="6">
        <f t="shared" si="2"/>
        <v>0.10886154394729497</v>
      </c>
      <c r="F30" s="6">
        <f t="shared" si="3"/>
        <v>0.6915589588159976</v>
      </c>
      <c r="G30" s="6"/>
      <c r="H30" s="6">
        <f t="shared" si="4"/>
        <v>0.13913498957948997</v>
      </c>
      <c r="I30" s="6">
        <f t="shared" si="5"/>
        <v>0.62009625892162712</v>
      </c>
      <c r="J30" s="6"/>
      <c r="K30" s="6">
        <f t="shared" si="6"/>
        <v>0.14841065555145602</v>
      </c>
      <c r="L30" s="6">
        <f t="shared" si="7"/>
        <v>0.3974802755944431</v>
      </c>
      <c r="M30" s="6"/>
      <c r="N30" s="6">
        <f t="shared" si="8"/>
        <v>0.1187285244411648</v>
      </c>
      <c r="O30" s="6">
        <f t="shared" si="9"/>
        <v>0.2193874889326958</v>
      </c>
      <c r="P30" s="6"/>
      <c r="Q30" s="6">
        <f t="shared" si="10"/>
        <v>7.5986255642345554E-2</v>
      </c>
      <c r="R30" s="6">
        <f t="shared" si="11"/>
        <v>0.1054081054691776</v>
      </c>
    </row>
    <row r="31" spans="2:18">
      <c r="B31" s="2">
        <f t="shared" ref="B31:B36" si="16">B30+1</f>
        <v>27</v>
      </c>
      <c r="C31" s="5">
        <f t="shared" si="14"/>
        <v>5.0000000000000018</v>
      </c>
      <c r="D31" s="2"/>
      <c r="E31" s="7">
        <f t="shared" si="2"/>
        <v>0.10260624827987344</v>
      </c>
      <c r="F31" s="7">
        <f t="shared" si="3"/>
        <v>0.71270250481635444</v>
      </c>
      <c r="G31" s="7"/>
      <c r="H31" s="7">
        <f t="shared" si="4"/>
        <v>0.13212590128611992</v>
      </c>
      <c r="I31" s="7">
        <f t="shared" si="5"/>
        <v>0.64722384356605978</v>
      </c>
      <c r="J31" s="7"/>
      <c r="K31" s="7">
        <f t="shared" si="6"/>
        <v>0.14680655698457779</v>
      </c>
      <c r="L31" s="7">
        <f t="shared" si="7"/>
        <v>0.42701400808919326</v>
      </c>
      <c r="M31" s="7"/>
      <c r="N31" s="7">
        <f t="shared" si="8"/>
        <v>0.12233879748714818</v>
      </c>
      <c r="O31" s="7">
        <f t="shared" si="9"/>
        <v>0.24350581185847098</v>
      </c>
      <c r="P31" s="7"/>
      <c r="Q31" s="7">
        <f t="shared" si="10"/>
        <v>8.1559198324765519E-2</v>
      </c>
      <c r="R31" s="7">
        <f t="shared" si="11"/>
        <v>0.12116701437132281</v>
      </c>
    </row>
    <row r="32" spans="2:18">
      <c r="B32">
        <f t="shared" si="16"/>
        <v>28</v>
      </c>
      <c r="C32" s="4">
        <f t="shared" si="14"/>
        <v>5.200000000000002</v>
      </c>
      <c r="E32" s="6">
        <f t="shared" si="2"/>
        <v>9.6555651678634002E-2</v>
      </c>
      <c r="F32" s="6">
        <f t="shared" si="3"/>
        <v>0.73261511842839822</v>
      </c>
      <c r="G32" s="6"/>
      <c r="H32" s="6">
        <f t="shared" si="4"/>
        <v>0.12506872154661977</v>
      </c>
      <c r="I32" s="6">
        <f t="shared" si="5"/>
        <v>0.6729434430265725</v>
      </c>
      <c r="J32" s="6"/>
      <c r="K32" s="6">
        <f t="shared" si="6"/>
        <v>0.14452385600942733</v>
      </c>
      <c r="L32" s="6">
        <f t="shared" si="7"/>
        <v>0.4561576590124316</v>
      </c>
      <c r="M32" s="6"/>
      <c r="N32" s="6">
        <f t="shared" si="8"/>
        <v>0.12525400854150376</v>
      </c>
      <c r="O32" s="6">
        <f t="shared" si="9"/>
        <v>0.26827664620017599</v>
      </c>
      <c r="P32" s="6"/>
      <c r="Q32" s="6">
        <f t="shared" si="10"/>
        <v>8.6842779255442648E-2</v>
      </c>
      <c r="R32" s="6">
        <f t="shared" si="11"/>
        <v>0.13801247731701205</v>
      </c>
    </row>
    <row r="33" spans="2:18">
      <c r="B33">
        <f t="shared" si="16"/>
        <v>29</v>
      </c>
      <c r="C33" s="4">
        <f t="shared" si="14"/>
        <v>5.4000000000000021</v>
      </c>
      <c r="E33" s="6">
        <f t="shared" si="2"/>
        <v>9.0727442198662148E-2</v>
      </c>
      <c r="F33" s="6">
        <f t="shared" si="3"/>
        <v>0.75133960286292611</v>
      </c>
      <c r="G33" s="6"/>
      <c r="H33" s="6">
        <f t="shared" si="4"/>
        <v>0.11803848097230382</v>
      </c>
      <c r="I33" s="6">
        <f t="shared" si="5"/>
        <v>0.69725315528399867</v>
      </c>
      <c r="J33" s="6"/>
      <c r="K33" s="6">
        <f t="shared" si="6"/>
        <v>0.14164617716676464</v>
      </c>
      <c r="L33" s="6">
        <f t="shared" si="7"/>
        <v>0.48478388953385204</v>
      </c>
      <c r="M33" s="6"/>
      <c r="N33" s="6">
        <f t="shared" si="8"/>
        <v>0.12748155945008821</v>
      </c>
      <c r="O33" s="6">
        <f t="shared" si="9"/>
        <v>0.2935615503587195</v>
      </c>
      <c r="P33" s="6"/>
      <c r="Q33" s="6">
        <f t="shared" si="10"/>
        <v>9.1786722804063539E-2</v>
      </c>
      <c r="R33" s="6">
        <f t="shared" si="11"/>
        <v>0.15588146615262416</v>
      </c>
    </row>
    <row r="34" spans="2:18">
      <c r="B34">
        <f t="shared" si="16"/>
        <v>30</v>
      </c>
      <c r="C34" s="4">
        <f t="shared" si="14"/>
        <v>5.6000000000000023</v>
      </c>
      <c r="E34" s="6">
        <f t="shared" si="2"/>
        <v>8.5134087675305101E-2</v>
      </c>
      <c r="F34" s="6">
        <f t="shared" si="3"/>
        <v>0.76892176202417195</v>
      </c>
      <c r="G34" s="6"/>
      <c r="H34" s="6">
        <f t="shared" si="4"/>
        <v>0.11109799350778879</v>
      </c>
      <c r="I34" s="6">
        <f t="shared" si="5"/>
        <v>0.72016484352103849</v>
      </c>
      <c r="J34" s="6"/>
      <c r="K34" s="6">
        <f t="shared" si="6"/>
        <v>0.13825528080969279</v>
      </c>
      <c r="L34" s="6">
        <f t="shared" si="7"/>
        <v>0.51278192230649944</v>
      </c>
      <c r="M34" s="6"/>
      <c r="N34" s="6">
        <f t="shared" si="8"/>
        <v>0.12903826208904662</v>
      </c>
      <c r="O34" s="6">
        <f t="shared" si="9"/>
        <v>0.31922452917292932</v>
      </c>
      <c r="P34" s="6"/>
      <c r="Q34" s="6">
        <f t="shared" si="10"/>
        <v>9.6348569026488182E-2</v>
      </c>
      <c r="R34" s="6">
        <f t="shared" si="11"/>
        <v>0.17470167563319713</v>
      </c>
    </row>
    <row r="35" spans="2:18">
      <c r="B35">
        <f t="shared" si="16"/>
        <v>31</v>
      </c>
      <c r="C35" s="4">
        <f t="shared" si="14"/>
        <v>5.8000000000000025</v>
      </c>
      <c r="E35" s="6">
        <f t="shared" si="2"/>
        <v>7.9783669081790437E-2</v>
      </c>
      <c r="F35" s="6">
        <f t="shared" si="3"/>
        <v>0.78540944178001204</v>
      </c>
      <c r="G35" s="6"/>
      <c r="H35" s="6">
        <f t="shared" si="4"/>
        <v>0.10429901755380717</v>
      </c>
      <c r="I35" s="6">
        <f t="shared" si="5"/>
        <v>0.74170180878693004</v>
      </c>
      <c r="J35" s="6"/>
      <c r="K35" s="6">
        <f t="shared" si="6"/>
        <v>0.1344298448471293</v>
      </c>
      <c r="L35" s="6">
        <f t="shared" si="7"/>
        <v>0.54005704151623635</v>
      </c>
      <c r="M35" s="6"/>
      <c r="N35" s="6">
        <f t="shared" si="8"/>
        <v>0.12994885001889173</v>
      </c>
      <c r="O35" s="6">
        <f t="shared" si="9"/>
        <v>0.34513376648789867</v>
      </c>
      <c r="P35" s="6"/>
      <c r="Q35" s="6">
        <f t="shared" si="10"/>
        <v>0.10049377734794294</v>
      </c>
      <c r="R35" s="6">
        <f t="shared" si="11"/>
        <v>0.1943931004659841</v>
      </c>
    </row>
    <row r="36" spans="2:18">
      <c r="B36" s="2">
        <f t="shared" si="16"/>
        <v>32</v>
      </c>
      <c r="C36" s="5">
        <f t="shared" si="14"/>
        <v>6.0000000000000027</v>
      </c>
      <c r="D36" s="2"/>
      <c r="E36" s="7">
        <f t="shared" si="2"/>
        <v>7.4680602551795858E-2</v>
      </c>
      <c r="F36" s="7">
        <f t="shared" si="3"/>
        <v>0.80085172652854442</v>
      </c>
      <c r="G36" s="7"/>
      <c r="H36" s="7">
        <f t="shared" si="4"/>
        <v>9.7683407406582226E-2</v>
      </c>
      <c r="I36" s="7">
        <f t="shared" si="5"/>
        <v>0.76189669444645591</v>
      </c>
      <c r="J36" s="7"/>
      <c r="K36" s="7">
        <f t="shared" si="6"/>
        <v>0.13024454320877638</v>
      </c>
      <c r="L36" s="7">
        <f t="shared" si="7"/>
        <v>0.56652987963329138</v>
      </c>
      <c r="M36" s="7"/>
      <c r="N36" s="7">
        <f t="shared" si="8"/>
        <v>0.1302445432087764</v>
      </c>
      <c r="O36" s="7">
        <f t="shared" si="9"/>
        <v>0.37116306482012684</v>
      </c>
      <c r="P36" s="7"/>
      <c r="Q36" s="7">
        <f t="shared" si="10"/>
        <v>0.10419563456702119</v>
      </c>
      <c r="R36" s="7">
        <f t="shared" si="11"/>
        <v>0.21486961296959511</v>
      </c>
    </row>
    <row r="37" spans="2:18">
      <c r="B37">
        <f t="shared" si="12"/>
        <v>33</v>
      </c>
      <c r="C37" s="4">
        <f t="shared" si="14"/>
        <v>6.2000000000000028</v>
      </c>
      <c r="E37" s="6">
        <f t="shared" si="2"/>
        <v>6.9826263710014547E-2</v>
      </c>
      <c r="F37" s="6">
        <f t="shared" si="3"/>
        <v>0.81529827018641321</v>
      </c>
      <c r="G37" s="6"/>
      <c r="H37" s="6">
        <f t="shared" si="4"/>
        <v>9.1284228124778558E-2</v>
      </c>
      <c r="I37" s="6">
        <f t="shared" si="5"/>
        <v>0.78078961763271837</v>
      </c>
      <c r="J37" s="6"/>
      <c r="K37" s="6">
        <f t="shared" si="6"/>
        <v>0.1257693809719172</v>
      </c>
      <c r="L37" s="6">
        <f t="shared" si="7"/>
        <v>0.59213554617484254</v>
      </c>
      <c r="M37" s="6"/>
      <c r="N37" s="6">
        <f t="shared" si="8"/>
        <v>0.12996169367098115</v>
      </c>
      <c r="O37" s="6">
        <f t="shared" si="9"/>
        <v>0.39719300566837112</v>
      </c>
      <c r="P37" s="6"/>
      <c r="Q37" s="6">
        <f t="shared" si="10"/>
        <v>0.1074350001013445</v>
      </c>
      <c r="R37" s="6">
        <f t="shared" si="11"/>
        <v>0.23604050551635411</v>
      </c>
    </row>
    <row r="38" spans="2:18">
      <c r="B38">
        <f t="shared" si="12"/>
        <v>34</v>
      </c>
      <c r="C38" s="4">
        <f t="shared" si="14"/>
        <v>6.400000000000003</v>
      </c>
      <c r="E38" s="6">
        <f t="shared" si="2"/>
        <v>6.5219526365385888E-2</v>
      </c>
      <c r="F38" s="6">
        <f t="shared" si="3"/>
        <v>0.82879874329086212</v>
      </c>
      <c r="G38" s="6"/>
      <c r="H38" s="6">
        <f t="shared" si="4"/>
        <v>8.5126815198686465E-2</v>
      </c>
      <c r="I38" s="6">
        <f t="shared" si="5"/>
        <v>0.7984265184052588</v>
      </c>
      <c r="J38" s="6"/>
      <c r="K38" s="6">
        <f t="shared" si="6"/>
        <v>0.12106924828257637</v>
      </c>
      <c r="L38" s="6">
        <f t="shared" si="7"/>
        <v>0.61682264598139436</v>
      </c>
      <c r="M38" s="6"/>
      <c r="N38" s="6">
        <f t="shared" si="8"/>
        <v>0.12914053150141483</v>
      </c>
      <c r="O38" s="6">
        <f t="shared" si="9"/>
        <v>0.42311184872927221</v>
      </c>
      <c r="P38" s="6"/>
      <c r="Q38" s="6">
        <f t="shared" si="10"/>
        <v>0.11019992021454071</v>
      </c>
      <c r="R38" s="6">
        <f t="shared" si="11"/>
        <v>0.25781196840746096</v>
      </c>
    </row>
    <row r="39" spans="2:18">
      <c r="B39">
        <f t="shared" si="12"/>
        <v>35</v>
      </c>
      <c r="C39" s="4">
        <f t="shared" si="14"/>
        <v>6.6000000000000032</v>
      </c>
      <c r="E39" s="6">
        <f t="shared" si="2"/>
        <v>6.0857226212045958E-2</v>
      </c>
      <c r="F39" s="6">
        <f t="shared" si="3"/>
        <v>0.84140238017466817</v>
      </c>
      <c r="G39" s="6"/>
      <c r="H39" s="6">
        <f t="shared" si="4"/>
        <v>7.9229766841134946E-2</v>
      </c>
      <c r="I39" s="6">
        <f t="shared" si="5"/>
        <v>0.81485771426172815</v>
      </c>
      <c r="J39" s="6"/>
      <c r="K39" s="6">
        <f t="shared" si="6"/>
        <v>0.11620365803366461</v>
      </c>
      <c r="L39" s="6">
        <f t="shared" si="7"/>
        <v>0.64055222721123128</v>
      </c>
      <c r="M39" s="6"/>
      <c r="N39" s="6">
        <f t="shared" si="8"/>
        <v>0.12782402383703112</v>
      </c>
      <c r="O39" s="6">
        <f t="shared" si="9"/>
        <v>0.44881619145568435</v>
      </c>
      <c r="P39" s="6"/>
      <c r="Q39" s="6">
        <f t="shared" si="10"/>
        <v>0.11248514097658742</v>
      </c>
      <c r="R39" s="6">
        <f t="shared" si="11"/>
        <v>0.28008847999080333</v>
      </c>
    </row>
    <row r="40" spans="2:18">
      <c r="B40">
        <f t="shared" si="12"/>
        <v>36</v>
      </c>
      <c r="C40" s="4">
        <f t="shared" si="14"/>
        <v>6.8000000000000034</v>
      </c>
      <c r="E40" s="6">
        <f t="shared" si="2"/>
        <v>5.6734558932554288E-2</v>
      </c>
      <c r="F40" s="6">
        <f t="shared" si="3"/>
        <v>0.85315761217456543</v>
      </c>
      <c r="G40" s="6"/>
      <c r="H40" s="6">
        <f t="shared" si="4"/>
        <v>7.3605861692780772E-2</v>
      </c>
      <c r="I40" s="6">
        <f t="shared" si="5"/>
        <v>0.83013664573450185</v>
      </c>
      <c r="J40" s="6"/>
      <c r="K40" s="6">
        <f t="shared" si="6"/>
        <v>0.1112266354468688</v>
      </c>
      <c r="L40" s="6">
        <f t="shared" si="7"/>
        <v>0.66329669256419876</v>
      </c>
      <c r="M40" s="6"/>
      <c r="N40" s="6">
        <f t="shared" si="8"/>
        <v>0.12605685350645135</v>
      </c>
      <c r="O40" s="6">
        <f t="shared" si="9"/>
        <v>0.47421141230452185</v>
      </c>
      <c r="P40" s="6"/>
      <c r="Q40" s="6">
        <f t="shared" si="10"/>
        <v>0.11429154717918262</v>
      </c>
      <c r="R40" s="6">
        <f t="shared" si="11"/>
        <v>0.30277409153574797</v>
      </c>
    </row>
    <row r="41" spans="2:18">
      <c r="B41" s="2">
        <f t="shared" ref="B41:B46" si="17">B40+1</f>
        <v>37</v>
      </c>
      <c r="C41" s="5">
        <f t="shared" si="14"/>
        <v>7.0000000000000036</v>
      </c>
      <c r="D41" s="2"/>
      <c r="E41" s="7">
        <f t="shared" si="2"/>
        <v>5.2845420989057312E-2</v>
      </c>
      <c r="F41" s="7">
        <f t="shared" si="3"/>
        <v>0.8641117745995669</v>
      </c>
      <c r="G41" s="7"/>
      <c r="H41" s="7">
        <f t="shared" si="4"/>
        <v>6.8262898521965154E-2</v>
      </c>
      <c r="I41" s="7">
        <f t="shared" si="5"/>
        <v>0.84431879775857954</v>
      </c>
      <c r="J41" s="7"/>
      <c r="K41" s="7">
        <f t="shared" si="6"/>
        <v>0.10618673103416805</v>
      </c>
      <c r="L41" s="7">
        <f t="shared" si="7"/>
        <v>0.68503870120732746</v>
      </c>
      <c r="M41" s="7"/>
      <c r="N41" s="7">
        <f t="shared" si="8"/>
        <v>0.12388451953986276</v>
      </c>
      <c r="O41" s="7">
        <f t="shared" si="9"/>
        <v>0.49921192189753327</v>
      </c>
      <c r="P41" s="7"/>
      <c r="Q41" s="7">
        <f t="shared" si="10"/>
        <v>0.11562555157053864</v>
      </c>
      <c r="R41" s="7">
        <f t="shared" si="11"/>
        <v>0.32577359454172544</v>
      </c>
    </row>
    <row r="42" spans="2:18">
      <c r="B42">
        <f t="shared" si="17"/>
        <v>38</v>
      </c>
      <c r="C42" s="4">
        <f t="shared" si="14"/>
        <v>7.2000000000000037</v>
      </c>
      <c r="E42" s="6">
        <f t="shared" si="2"/>
        <v>4.918270040512656E-2</v>
      </c>
      <c r="F42" s="6">
        <f t="shared" si="3"/>
        <v>0.87431087674245445</v>
      </c>
      <c r="G42" s="6"/>
      <c r="H42" s="6">
        <f t="shared" si="4"/>
        <v>6.3204457336473729E-2</v>
      </c>
      <c r="I42" s="6">
        <f t="shared" si="5"/>
        <v>0.85746078111097335</v>
      </c>
      <c r="J42" s="6"/>
      <c r="K42" s="6">
        <f t="shared" si="6"/>
        <v>0.10112713173835805</v>
      </c>
      <c r="L42" s="6">
        <f t="shared" si="7"/>
        <v>0.7057700835034364</v>
      </c>
      <c r="M42" s="6"/>
      <c r="N42" s="6">
        <f t="shared" si="8"/>
        <v>0.1213525580860297</v>
      </c>
      <c r="O42" s="6">
        <f t="shared" si="9"/>
        <v>0.52374124637439179</v>
      </c>
      <c r="P42" s="6"/>
      <c r="Q42" s="6">
        <f t="shared" si="10"/>
        <v>0.11649845576258858</v>
      </c>
      <c r="R42" s="6">
        <f t="shared" si="11"/>
        <v>0.34899356273050902</v>
      </c>
    </row>
    <row r="43" spans="2:18">
      <c r="B43">
        <f t="shared" si="17"/>
        <v>39</v>
      </c>
      <c r="C43" s="4">
        <f t="shared" si="14"/>
        <v>7.4000000000000039</v>
      </c>
      <c r="E43" s="6">
        <f t="shared" si="2"/>
        <v>4.5738523970127822E-2</v>
      </c>
      <c r="F43" s="6">
        <f t="shared" si="3"/>
        <v>0.88379942558940505</v>
      </c>
      <c r="G43" s="6"/>
      <c r="H43" s="6">
        <f t="shared" si="4"/>
        <v>5.8430583404157813E-2</v>
      </c>
      <c r="I43" s="6">
        <f t="shared" si="5"/>
        <v>0.86961955832443316</v>
      </c>
      <c r="J43" s="6"/>
      <c r="K43" s="6">
        <f t="shared" si="6"/>
        <v>9.6085848264615151E-2</v>
      </c>
      <c r="L43" s="6">
        <f t="shared" si="7"/>
        <v>0.72549078592751037</v>
      </c>
      <c r="M43" s="6"/>
      <c r="N43" s="6">
        <f t="shared" si="8"/>
        <v>0.11850587952635874</v>
      </c>
      <c r="O43" s="6">
        <f t="shared" si="9"/>
        <v>0.54773196663797241</v>
      </c>
      <c r="P43" s="6"/>
      <c r="Q43" s="6">
        <f t="shared" si="10"/>
        <v>0.11692580113267403</v>
      </c>
      <c r="R43" s="6">
        <f t="shared" si="11"/>
        <v>0.37234326493896136</v>
      </c>
    </row>
    <row r="44" spans="2:18">
      <c r="B44">
        <f t="shared" si="17"/>
        <v>40</v>
      </c>
      <c r="C44" s="4">
        <f t="shared" si="14"/>
        <v>7.6000000000000041</v>
      </c>
      <c r="E44" s="6">
        <f t="shared" si="2"/>
        <v>4.2504466526714572E-2</v>
      </c>
      <c r="F44" s="6">
        <f t="shared" si="3"/>
        <v>0.8926202950904053</v>
      </c>
      <c r="G44" s="6"/>
      <c r="H44" s="6">
        <f t="shared" si="4"/>
        <v>5.3938397159173562E-2</v>
      </c>
      <c r="I44" s="6">
        <f t="shared" si="5"/>
        <v>0.88085179893457488</v>
      </c>
      <c r="J44" s="6"/>
      <c r="K44" s="6">
        <f t="shared" si="6"/>
        <v>9.109595964660433E-2</v>
      </c>
      <c r="L44" s="6">
        <f t="shared" si="7"/>
        <v>0.74420785946466839</v>
      </c>
      <c r="M44" s="6"/>
      <c r="N44" s="6">
        <f t="shared" si="8"/>
        <v>0.11538821555236552</v>
      </c>
      <c r="O44" s="6">
        <f t="shared" si="9"/>
        <v>0.57112553613612005</v>
      </c>
      <c r="P44" s="6"/>
      <c r="Q44" s="6">
        <f t="shared" si="10"/>
        <v>0.11692672509306379</v>
      </c>
      <c r="R44" s="6">
        <f t="shared" si="11"/>
        <v>0.39573544849652448</v>
      </c>
    </row>
    <row r="45" spans="2:18">
      <c r="B45">
        <f t="shared" si="17"/>
        <v>41</v>
      </c>
      <c r="C45" s="4">
        <f t="shared" si="14"/>
        <v>7.8000000000000043</v>
      </c>
      <c r="E45" s="6">
        <f t="shared" si="2"/>
        <v>3.94717273193185E-2</v>
      </c>
      <c r="F45" s="6">
        <f t="shared" si="3"/>
        <v>0.90081463391555872</v>
      </c>
      <c r="G45" s="6"/>
      <c r="H45" s="6">
        <f t="shared" si="4"/>
        <v>4.9722633979123666E-2</v>
      </c>
      <c r="I45" s="6">
        <f t="shared" si="5"/>
        <v>0.89121334962259779</v>
      </c>
      <c r="J45" s="6"/>
      <c r="K45" s="6">
        <f t="shared" si="6"/>
        <v>8.618589889714777E-2</v>
      </c>
      <c r="L45" s="6">
        <f t="shared" si="7"/>
        <v>0.76193450127687612</v>
      </c>
      <c r="M45" s="6"/>
      <c r="N45" s="6">
        <f t="shared" si="8"/>
        <v>0.11204166856629214</v>
      </c>
      <c r="O45" s="6">
        <f t="shared" si="9"/>
        <v>0.59387199842743787</v>
      </c>
      <c r="P45" s="6"/>
      <c r="Q45" s="6">
        <f t="shared" si="10"/>
        <v>0.11652333530894389</v>
      </c>
      <c r="R45" s="6">
        <f t="shared" si="11"/>
        <v>0.41908699546402228</v>
      </c>
    </row>
    <row r="46" spans="2:18">
      <c r="B46" s="2">
        <f t="shared" si="17"/>
        <v>42</v>
      </c>
      <c r="C46" s="5">
        <f t="shared" si="14"/>
        <v>8.0000000000000036</v>
      </c>
      <c r="D46" s="2"/>
      <c r="E46" s="7">
        <f t="shared" si="2"/>
        <v>3.6631277777468323E-2</v>
      </c>
      <c r="F46" s="7">
        <f t="shared" si="3"/>
        <v>0.90842180555632923</v>
      </c>
      <c r="G46" s="7"/>
      <c r="H46" s="7">
        <f t="shared" si="4"/>
        <v>4.5776118460031365E-2</v>
      </c>
      <c r="I46" s="7">
        <f t="shared" si="5"/>
        <v>0.90075880568235389</v>
      </c>
      <c r="J46" s="7"/>
      <c r="K46" s="7">
        <f t="shared" si="6"/>
        <v>8.1379766151166905E-2</v>
      </c>
      <c r="L46" s="7">
        <f t="shared" si="7"/>
        <v>0.77868915645560355</v>
      </c>
      <c r="M46" s="7"/>
      <c r="N46" s="7">
        <f t="shared" si="8"/>
        <v>0.1085063548682226</v>
      </c>
      <c r="O46" s="7">
        <f t="shared" si="9"/>
        <v>0.61592962415326968</v>
      </c>
      <c r="P46" s="7"/>
      <c r="Q46" s="7">
        <f t="shared" si="10"/>
        <v>0.11574011185943749</v>
      </c>
      <c r="R46" s="7">
        <f t="shared" si="11"/>
        <v>0.44231945636411346</v>
      </c>
    </row>
    <row r="47" spans="2:18">
      <c r="B47">
        <f t="shared" si="12"/>
        <v>43</v>
      </c>
      <c r="C47" s="4">
        <f t="shared" si="14"/>
        <v>8.2000000000000028</v>
      </c>
      <c r="E47" s="6">
        <f t="shared" si="2"/>
        <v>3.3973984573610526E-2</v>
      </c>
      <c r="F47" s="6">
        <f t="shared" si="3"/>
        <v>0.91547935545101766</v>
      </c>
      <c r="G47" s="6"/>
      <c r="H47" s="6">
        <f t="shared" si="4"/>
        <v>4.2090178175300731E-2</v>
      </c>
      <c r="I47" s="6">
        <f t="shared" si="5"/>
        <v>0.90954117120593836</v>
      </c>
      <c r="J47" s="6"/>
      <c r="K47" s="6">
        <f t="shared" si="6"/>
        <v>7.66976580083258E-2</v>
      </c>
      <c r="L47" s="6">
        <f t="shared" si="7"/>
        <v>0.79449468419344971</v>
      </c>
      <c r="M47" s="6"/>
      <c r="N47" s="6">
        <f t="shared" si="8"/>
        <v>0.10482013261137861</v>
      </c>
      <c r="O47" s="6">
        <f t="shared" si="9"/>
        <v>0.6372644852763818</v>
      </c>
      <c r="P47" s="6"/>
      <c r="Q47" s="6">
        <f t="shared" si="10"/>
        <v>0.11460334498844066</v>
      </c>
      <c r="R47" s="6">
        <f t="shared" si="11"/>
        <v>0.46535946779372062</v>
      </c>
    </row>
    <row r="48" spans="2:18">
      <c r="B48">
        <f t="shared" si="12"/>
        <v>44</v>
      </c>
      <c r="C48" s="4">
        <f t="shared" si="14"/>
        <v>8.4000000000000021</v>
      </c>
      <c r="E48" s="6">
        <f t="shared" si="2"/>
        <v>3.1490711323003157E-2</v>
      </c>
      <c r="F48" s="6">
        <f t="shared" si="3"/>
        <v>0.92202300053351594</v>
      </c>
      <c r="G48" s="6"/>
      <c r="H48" s="6">
        <f t="shared" si="4"/>
        <v>3.8655002049634866E-2</v>
      </c>
      <c r="I48" s="6">
        <f t="shared" si="5"/>
        <v>0.91761159639676038</v>
      </c>
      <c r="J48" s="6"/>
      <c r="K48" s="6">
        <f t="shared" si="6"/>
        <v>7.215600382598511E-2</v>
      </c>
      <c r="L48" s="6">
        <f t="shared" si="7"/>
        <v>0.8093775906577827</v>
      </c>
      <c r="M48" s="6"/>
      <c r="N48" s="6">
        <f t="shared" si="8"/>
        <v>0.10101840535637918</v>
      </c>
      <c r="O48" s="6">
        <f t="shared" si="9"/>
        <v>0.65784998262321404</v>
      </c>
      <c r="P48" s="6"/>
      <c r="Q48" s="6">
        <f t="shared" si="10"/>
        <v>0.1131406139991447</v>
      </c>
      <c r="R48" s="6">
        <f t="shared" si="11"/>
        <v>0.48813906162449699</v>
      </c>
    </row>
    <row r="49" spans="2:18">
      <c r="B49">
        <f t="shared" si="12"/>
        <v>45</v>
      </c>
      <c r="C49" s="4">
        <f t="shared" si="14"/>
        <v>8.6000000000000014</v>
      </c>
      <c r="E49" s="6">
        <f t="shared" si="2"/>
        <v>2.9172401876231987E-2</v>
      </c>
      <c r="F49" s="6">
        <f t="shared" si="3"/>
        <v>0.92808663723533513</v>
      </c>
      <c r="G49" s="6"/>
      <c r="H49" s="6">
        <f t="shared" si="4"/>
        <v>3.5459948463793522E-2</v>
      </c>
      <c r="I49" s="6">
        <f t="shared" si="5"/>
        <v>0.9250191814460158</v>
      </c>
      <c r="J49" s="6"/>
      <c r="K49" s="6">
        <f t="shared" si="6"/>
        <v>6.7767901508583195E-2</v>
      </c>
      <c r="L49" s="6">
        <f t="shared" si="7"/>
        <v>0.82336732918314115</v>
      </c>
      <c r="M49" s="6"/>
      <c r="N49" s="6">
        <f t="shared" si="8"/>
        <v>9.7133992162302563E-2</v>
      </c>
      <c r="O49" s="6">
        <f t="shared" si="9"/>
        <v>0.67766634093968725</v>
      </c>
      <c r="P49" s="6"/>
      <c r="Q49" s="6">
        <f t="shared" si="10"/>
        <v>0.11138031101277364</v>
      </c>
      <c r="R49" s="6">
        <f t="shared" si="11"/>
        <v>0.51059587442052656</v>
      </c>
    </row>
    <row r="50" spans="2:18">
      <c r="B50">
        <f t="shared" si="12"/>
        <v>46</v>
      </c>
      <c r="C50" s="4">
        <f t="shared" si="14"/>
        <v>8.8000000000000007</v>
      </c>
      <c r="E50" s="6">
        <f t="shared" si="2"/>
        <v>2.7010147786750562E-2</v>
      </c>
      <c r="F50" s="6">
        <f t="shared" si="3"/>
        <v>0.93370236452343047</v>
      </c>
      <c r="G50" s="6"/>
      <c r="H50" s="6">
        <f t="shared" si="4"/>
        <v>3.2493808074489171E-2</v>
      </c>
      <c r="I50" s="6">
        <f t="shared" si="5"/>
        <v>0.9318108374201286</v>
      </c>
      <c r="J50" s="6"/>
      <c r="K50" s="6">
        <f t="shared" si="6"/>
        <v>6.3543446901223308E-2</v>
      </c>
      <c r="L50" s="6">
        <f t="shared" si="7"/>
        <v>0.8364956670682937</v>
      </c>
      <c r="M50" s="6"/>
      <c r="N50" s="6">
        <f t="shared" si="8"/>
        <v>9.3197055455127478E-2</v>
      </c>
      <c r="O50" s="6">
        <f t="shared" si="9"/>
        <v>0.69670008388560256</v>
      </c>
      <c r="P50" s="6"/>
      <c r="Q50" s="6">
        <f t="shared" si="10"/>
        <v>0.10935121173401628</v>
      </c>
      <c r="R50" s="6">
        <f t="shared" si="11"/>
        <v>0.53267326628457801</v>
      </c>
    </row>
    <row r="51" spans="2:18">
      <c r="B51">
        <f t="shared" si="12"/>
        <v>47</v>
      </c>
      <c r="C51" s="4">
        <f t="shared" si="14"/>
        <v>9</v>
      </c>
      <c r="E51" s="6">
        <f t="shared" si="2"/>
        <v>2.4995242211045189E-2</v>
      </c>
      <c r="F51" s="6">
        <f t="shared" si="3"/>
        <v>0.93890051903966731</v>
      </c>
      <c r="G51" s="6"/>
      <c r="H51" s="6">
        <f t="shared" si="4"/>
        <v>2.9745026119996302E-2</v>
      </c>
      <c r="I51" s="6">
        <f t="shared" si="5"/>
        <v>0.93803119558334103</v>
      </c>
      <c r="J51" s="6"/>
      <c r="K51" s="6">
        <f t="shared" si="6"/>
        <v>5.9490052239992604E-2</v>
      </c>
      <c r="L51" s="6">
        <f t="shared" si="7"/>
        <v>0.84879611722335213</v>
      </c>
      <c r="M51" s="6"/>
      <c r="N51" s="6">
        <f t="shared" si="8"/>
        <v>8.9235078359988909E-2</v>
      </c>
      <c r="O51" s="6">
        <f t="shared" si="9"/>
        <v>0.71494349968336879</v>
      </c>
      <c r="P51" s="6"/>
      <c r="Q51" s="6">
        <f t="shared" si="10"/>
        <v>0.10708209403198668</v>
      </c>
      <c r="R51" s="6">
        <f t="shared" si="11"/>
        <v>0.55432035863538887</v>
      </c>
    </row>
    <row r="52" spans="2:18">
      <c r="B52">
        <f t="shared" ref="B52:B101" si="18">B51+1</f>
        <v>48</v>
      </c>
      <c r="C52" s="4">
        <f t="shared" ref="C52:C101" si="19">C51+0.2</f>
        <v>9.1999999999999993</v>
      </c>
      <c r="E52" s="6">
        <f t="shared" si="2"/>
        <v>2.3119222212657248E-2</v>
      </c>
      <c r="F52" s="6">
        <f t="shared" si="3"/>
        <v>0.94370971983005192</v>
      </c>
      <c r="G52" s="6"/>
      <c r="H52" s="6">
        <f t="shared" si="4"/>
        <v>2.720188871314054E-2</v>
      </c>
      <c r="I52" s="6">
        <f t="shared" si="5"/>
        <v>0.9437225575075846</v>
      </c>
      <c r="J52" s="6"/>
      <c r="K52" s="6">
        <f t="shared" si="6"/>
        <v>5.5612750257976247E-2</v>
      </c>
      <c r="L52" s="6">
        <f t="shared" si="7"/>
        <v>0.86030343212062022</v>
      </c>
      <c r="M52" s="6"/>
      <c r="N52" s="6">
        <f t="shared" si="8"/>
        <v>8.5272883728896881E-2</v>
      </c>
      <c r="O52" s="6">
        <f t="shared" si="9"/>
        <v>0.73239410652727499</v>
      </c>
      <c r="P52" s="6"/>
      <c r="Q52" s="6">
        <f t="shared" si="10"/>
        <v>0.10460140404078015</v>
      </c>
      <c r="R52" s="6">
        <f t="shared" si="11"/>
        <v>0.57549200046610482</v>
      </c>
    </row>
    <row r="53" spans="2:18">
      <c r="B53">
        <f t="shared" si="18"/>
        <v>49</v>
      </c>
      <c r="C53" s="4">
        <f t="shared" si="19"/>
        <v>9.3999999999999986</v>
      </c>
      <c r="E53" s="6">
        <f t="shared" si="2"/>
        <v>2.1373901188985186E-2</v>
      </c>
      <c r="F53" s="6">
        <f t="shared" si="3"/>
        <v>0.94815692052033373</v>
      </c>
      <c r="G53" s="6"/>
      <c r="H53" s="6">
        <f t="shared" si="4"/>
        <v>2.4852677320207604E-2</v>
      </c>
      <c r="I53" s="6">
        <f t="shared" si="5"/>
        <v>0.94892487919220803</v>
      </c>
      <c r="J53" s="6"/>
      <c r="K53" s="6">
        <f t="shared" si="6"/>
        <v>5.1914481513322529E-2</v>
      </c>
      <c r="L53" s="6">
        <f t="shared" si="7"/>
        <v>0.87105315692222418</v>
      </c>
      <c r="M53" s="6"/>
      <c r="N53" s="6">
        <f t="shared" si="8"/>
        <v>8.1332687704205306E-2</v>
      </c>
      <c r="O53" s="6">
        <f t="shared" si="9"/>
        <v>0.7490541253659162</v>
      </c>
      <c r="P53" s="6"/>
      <c r="Q53" s="6">
        <f t="shared" si="10"/>
        <v>0.10193696858927065</v>
      </c>
      <c r="R53" s="6">
        <f t="shared" si="11"/>
        <v>0.59614867248201042</v>
      </c>
    </row>
    <row r="54" spans="2:18">
      <c r="B54">
        <f t="shared" si="18"/>
        <v>50</v>
      </c>
      <c r="C54" s="4">
        <f t="shared" si="19"/>
        <v>9.5999999999999979</v>
      </c>
      <c r="E54" s="6">
        <f t="shared" si="2"/>
        <v>1.9751392917648089E-2</v>
      </c>
      <c r="F54" s="6">
        <f t="shared" si="3"/>
        <v>0.95226746711568377</v>
      </c>
      <c r="G54" s="6"/>
      <c r="H54" s="6">
        <f t="shared" si="4"/>
        <v>2.2685795303068138E-2</v>
      </c>
      <c r="I54" s="6">
        <f t="shared" si="5"/>
        <v>0.95367578322391067</v>
      </c>
      <c r="J54" s="6"/>
      <c r="K54" s="6">
        <f t="shared" si="6"/>
        <v>4.8396363313212044E-2</v>
      </c>
      <c r="L54" s="6">
        <f t="shared" si="7"/>
        <v>0.88108123825409268</v>
      </c>
      <c r="M54" s="6"/>
      <c r="N54" s="6">
        <f t="shared" si="8"/>
        <v>7.7434181301139243E-2</v>
      </c>
      <c r="O54" s="6">
        <f t="shared" si="9"/>
        <v>0.76492996630238375</v>
      </c>
      <c r="P54" s="6"/>
      <c r="Q54" s="6">
        <f t="shared" si="10"/>
        <v>9.9115752065458182E-2</v>
      </c>
      <c r="R54" s="6">
        <f t="shared" si="11"/>
        <v>0.61625633820419656</v>
      </c>
    </row>
    <row r="55" spans="2:18">
      <c r="B55">
        <f t="shared" ref="B55:B101" si="20">B54+1</f>
        <v>51</v>
      </c>
      <c r="C55" s="4">
        <f t="shared" ref="C55:C101" si="21">C54+0.2</f>
        <v>9.7999999999999972</v>
      </c>
      <c r="E55" s="6">
        <f t="shared" si="2"/>
        <v>1.8244128523764655E-2</v>
      </c>
      <c r="F55" s="6">
        <f t="shared" si="3"/>
        <v>0.95606515988154639</v>
      </c>
      <c r="G55" s="6"/>
      <c r="H55" s="6">
        <f t="shared" si="4"/>
        <v>2.0689870074655673E-2</v>
      </c>
      <c r="I55" s="6">
        <f t="shared" si="5"/>
        <v>0.95801059374998809</v>
      </c>
      <c r="J55" s="6"/>
      <c r="K55" s="6">
        <f t="shared" si="6"/>
        <v>4.5057939273694579E-2</v>
      </c>
      <c r="L55" s="6">
        <f t="shared" si="7"/>
        <v>0.89042368483944634</v>
      </c>
      <c r="M55" s="6"/>
      <c r="N55" s="6">
        <f t="shared" si="8"/>
        <v>7.3594634147034418E-2</v>
      </c>
      <c r="O55" s="6">
        <f t="shared" si="9"/>
        <v>0.78003173361889477</v>
      </c>
      <c r="P55" s="6"/>
      <c r="Q55" s="6">
        <f t="shared" si="10"/>
        <v>9.6163655285458255E-2</v>
      </c>
      <c r="R55" s="6">
        <f t="shared" si="11"/>
        <v>0.63578625069070727</v>
      </c>
    </row>
    <row r="56" spans="2:18">
      <c r="B56">
        <f t="shared" si="20"/>
        <v>52</v>
      </c>
      <c r="C56" s="4">
        <f t="shared" si="21"/>
        <v>9.9999999999999964</v>
      </c>
      <c r="E56" s="6">
        <f t="shared" si="2"/>
        <v>1.6844867497713696E-2</v>
      </c>
      <c r="F56" s="6">
        <f t="shared" si="3"/>
        <v>0.95957231800548715</v>
      </c>
      <c r="G56" s="6"/>
      <c r="H56" s="6">
        <f t="shared" si="4"/>
        <v>1.8853834093923112E-2</v>
      </c>
      <c r="I56" s="6">
        <f t="shared" si="5"/>
        <v>0.96196238971551007</v>
      </c>
      <c r="J56" s="6"/>
      <c r="K56" s="6">
        <f t="shared" si="6"/>
        <v>4.1897409097606933E-2</v>
      </c>
      <c r="L56" s="6">
        <f t="shared" si="7"/>
        <v>0.89911627606909972</v>
      </c>
      <c r="M56" s="6"/>
      <c r="N56" s="6">
        <f t="shared" si="8"/>
        <v>6.9829015162678171E-2</v>
      </c>
      <c r="O56" s="6">
        <f t="shared" si="9"/>
        <v>0.7943727533250825</v>
      </c>
      <c r="P56" s="6"/>
      <c r="Q56" s="6">
        <f t="shared" si="10"/>
        <v>9.3105353550237524E-2</v>
      </c>
      <c r="R56" s="6">
        <f t="shared" si="11"/>
        <v>0.65471472299972633</v>
      </c>
    </row>
    <row r="57" spans="2:18">
      <c r="B57">
        <f t="shared" si="20"/>
        <v>53</v>
      </c>
      <c r="C57" s="4">
        <f t="shared" si="21"/>
        <v>10.199999999999996</v>
      </c>
      <c r="E57" s="6">
        <f t="shared" si="2"/>
        <v>1.5546703742064898E-2</v>
      </c>
      <c r="F57" s="6">
        <f t="shared" si="3"/>
        <v>0.96280984595035457</v>
      </c>
      <c r="G57" s="6"/>
      <c r="H57" s="6">
        <f t="shared" si="4"/>
        <v>1.716698761211459E-2</v>
      </c>
      <c r="I57" s="6">
        <f t="shared" si="5"/>
        <v>0.96556207242863867</v>
      </c>
      <c r="J57" s="6"/>
      <c r="K57" s="6">
        <f t="shared" si="6"/>
        <v>3.8911838587459745E-2</v>
      </c>
      <c r="L57" s="6">
        <f t="shared" si="7"/>
        <v>0.90719431454744903</v>
      </c>
      <c r="M57" s="6"/>
      <c r="N57" s="6">
        <f t="shared" si="8"/>
        <v>6.6150125598681539E-2</v>
      </c>
      <c r="O57" s="6">
        <f t="shared" si="9"/>
        <v>0.80796912614942673</v>
      </c>
      <c r="P57" s="6"/>
      <c r="Q57" s="6">
        <f t="shared" si="10"/>
        <v>8.9964170814206837E-2</v>
      </c>
      <c r="R57" s="6">
        <f t="shared" si="11"/>
        <v>0.67302286992811644</v>
      </c>
    </row>
    <row r="58" spans="2:18">
      <c r="B58">
        <f t="shared" si="20"/>
        <v>54</v>
      </c>
      <c r="C58" s="4">
        <f t="shared" si="21"/>
        <v>10.399999999999995</v>
      </c>
      <c r="E58" s="6">
        <f t="shared" si="2"/>
        <v>1.4343067493978042E-2</v>
      </c>
      <c r="F58" s="6">
        <f t="shared" si="3"/>
        <v>0.96579730059128321</v>
      </c>
      <c r="G58" s="6"/>
      <c r="H58" s="6">
        <f t="shared" si="4"/>
        <v>1.5619045782221196E-2</v>
      </c>
      <c r="I58" s="6">
        <f t="shared" si="5"/>
        <v>0.96883844407040021</v>
      </c>
      <c r="J58" s="6"/>
      <c r="K58" s="6">
        <f t="shared" si="6"/>
        <v>3.6097350252244524E-2</v>
      </c>
      <c r="L58" s="6">
        <f t="shared" si="7"/>
        <v>0.91469241869203355</v>
      </c>
      <c r="M58" s="6"/>
      <c r="N58" s="6">
        <f t="shared" si="8"/>
        <v>6.2568740437223783E-2</v>
      </c>
      <c r="O58" s="6">
        <f t="shared" si="9"/>
        <v>0.82083930803619776</v>
      </c>
      <c r="P58" s="6"/>
      <c r="Q58" s="6">
        <f t="shared" si="10"/>
        <v>8.6761986739616923E-2</v>
      </c>
      <c r="R58" s="6">
        <f t="shared" si="11"/>
        <v>0.69069632792677238</v>
      </c>
    </row>
    <row r="59" spans="2:18">
      <c r="B59">
        <f t="shared" si="20"/>
        <v>55</v>
      </c>
      <c r="C59" s="4">
        <f t="shared" si="21"/>
        <v>10.599999999999994</v>
      </c>
      <c r="E59" s="6">
        <f t="shared" si="2"/>
        <v>1.3227723853312105E-2</v>
      </c>
      <c r="F59" s="6">
        <f t="shared" si="3"/>
        <v>0.9685529583864656</v>
      </c>
      <c r="G59" s="6"/>
      <c r="H59" s="6">
        <f t="shared" si="4"/>
        <v>1.4200172460897321E-2</v>
      </c>
      <c r="I59" s="6">
        <f t="shared" si="5"/>
        <v>0.97181829425902899</v>
      </c>
      <c r="J59" s="6"/>
      <c r="K59" s="6">
        <f t="shared" si="6"/>
        <v>3.3449295130113681E-2</v>
      </c>
      <c r="L59" s="6">
        <f t="shared" si="7"/>
        <v>0.9216443515638586</v>
      </c>
      <c r="M59" s="6"/>
      <c r="N59" s="6">
        <f t="shared" si="8"/>
        <v>5.9093754729867443E-2</v>
      </c>
      <c r="O59" s="6">
        <f t="shared" si="9"/>
        <v>0.83300371946905738</v>
      </c>
      <c r="P59" s="6"/>
      <c r="Q59" s="6">
        <f t="shared" si="10"/>
        <v>8.3519173351545961E-2</v>
      </c>
      <c r="R59" s="6">
        <f t="shared" si="11"/>
        <v>0.70772495944173852</v>
      </c>
    </row>
    <row r="60" spans="2:18">
      <c r="B60">
        <f t="shared" si="20"/>
        <v>56</v>
      </c>
      <c r="C60" s="4">
        <f t="shared" si="21"/>
        <v>10.799999999999994</v>
      </c>
      <c r="E60" s="6">
        <f t="shared" si="2"/>
        <v>1.2194768545054238E-2</v>
      </c>
      <c r="F60" s="6">
        <f t="shared" si="3"/>
        <v>0.97109388196727886</v>
      </c>
      <c r="G60" s="6"/>
      <c r="H60" s="6">
        <f t="shared" si="4"/>
        <v>1.2901002768749064E-2</v>
      </c>
      <c r="I60" s="6">
        <f t="shared" si="5"/>
        <v>0.97452649221818755</v>
      </c>
      <c r="J60" s="6"/>
      <c r="K60" s="6">
        <f t="shared" si="6"/>
        <v>3.0962406644997723E-2</v>
      </c>
      <c r="L60" s="6">
        <f t="shared" si="7"/>
        <v>0.92808288225069102</v>
      </c>
      <c r="M60" s="6"/>
      <c r="N60" s="6">
        <f t="shared" si="8"/>
        <v>5.5732331960995876E-2</v>
      </c>
      <c r="O60" s="6">
        <f t="shared" si="9"/>
        <v>0.84448438430919726</v>
      </c>
      <c r="P60" s="6"/>
      <c r="Q60" s="6">
        <f t="shared" si="10"/>
        <v>8.0254558023834008E-2</v>
      </c>
      <c r="R60" s="6">
        <f t="shared" si="11"/>
        <v>0.72410254727344625</v>
      </c>
    </row>
    <row r="61" spans="2:18">
      <c r="B61">
        <f t="shared" si="20"/>
        <v>57</v>
      </c>
      <c r="C61" s="4">
        <f t="shared" si="21"/>
        <v>10.999999999999993</v>
      </c>
      <c r="E61" s="6">
        <f t="shared" si="2"/>
        <v>1.1238621455776216E-2</v>
      </c>
      <c r="F61" s="6">
        <f t="shared" si="3"/>
        <v>0.97343598564998346</v>
      </c>
      <c r="G61" s="6"/>
      <c r="H61" s="6">
        <f t="shared" si="4"/>
        <v>1.1712656231696785E-2</v>
      </c>
      <c r="I61" s="6">
        <f t="shared" si="5"/>
        <v>0.97698608248689323</v>
      </c>
      <c r="J61" s="6"/>
      <c r="K61" s="6">
        <f t="shared" si="6"/>
        <v>2.8630937455258791E-2</v>
      </c>
      <c r="L61" s="6">
        <f t="shared" si="7"/>
        <v>0.93403967630400508</v>
      </c>
      <c r="M61" s="6"/>
      <c r="N61" s="6">
        <f t="shared" si="8"/>
        <v>5.2490052001307762E-2</v>
      </c>
      <c r="O61" s="6">
        <f t="shared" si="9"/>
        <v>0.85530459830204353</v>
      </c>
      <c r="P61" s="6"/>
      <c r="Q61" s="6">
        <f t="shared" si="10"/>
        <v>7.6985409601917992E-2</v>
      </c>
      <c r="R61" s="6">
        <f t="shared" si="11"/>
        <v>0.7398264838991665</v>
      </c>
    </row>
    <row r="62" spans="2:18">
      <c r="B62">
        <f t="shared" si="20"/>
        <v>58</v>
      </c>
      <c r="C62" s="4">
        <f t="shared" si="21"/>
        <v>11.199999999999992</v>
      </c>
      <c r="E62" s="6">
        <f t="shared" si="2"/>
        <v>1.0354018406152243E-2</v>
      </c>
      <c r="F62" s="6">
        <f t="shared" si="3"/>
        <v>0.97559409947121256</v>
      </c>
      <c r="G62" s="6"/>
      <c r="H62" s="6">
        <f t="shared" si="4"/>
        <v>1.0626742103295027E-2</v>
      </c>
      <c r="I62" s="6">
        <f t="shared" si="5"/>
        <v>0.97921838245089843</v>
      </c>
      <c r="J62" s="6"/>
      <c r="K62" s="6">
        <f t="shared" si="6"/>
        <v>2.6448780345978706E-2</v>
      </c>
      <c r="L62" s="6">
        <f t="shared" si="7"/>
        <v>0.9395452119319303</v>
      </c>
      <c r="M62" s="6"/>
      <c r="N62" s="6">
        <f t="shared" si="8"/>
        <v>4.9371056645826882E-2</v>
      </c>
      <c r="O62" s="6">
        <f t="shared" si="9"/>
        <v>0.86548862696318996</v>
      </c>
      <c r="P62" s="6"/>
      <c r="Q62" s="6">
        <f t="shared" si="10"/>
        <v>7.3727444591101449E-2</v>
      </c>
      <c r="R62" s="6">
        <f t="shared" si="11"/>
        <v>0.75489746007653791</v>
      </c>
    </row>
    <row r="63" spans="2:18">
      <c r="B63">
        <f t="shared" si="20"/>
        <v>59</v>
      </c>
      <c r="C63" s="4">
        <f t="shared" si="21"/>
        <v>11.399999999999991</v>
      </c>
      <c r="E63" s="6">
        <f t="shared" si="2"/>
        <v>9.5360015537931647E-3</v>
      </c>
      <c r="F63" s="6">
        <f t="shared" si="3"/>
        <v>0.97758203143494238</v>
      </c>
      <c r="G63" s="6"/>
      <c r="H63" s="6">
        <f t="shared" si="4"/>
        <v>9.6353582651765995E-3</v>
      </c>
      <c r="I63" s="6">
        <f t="shared" si="5"/>
        <v>0.98124308027464591</v>
      </c>
      <c r="J63" s="6"/>
      <c r="K63" s="6">
        <f t="shared" si="6"/>
        <v>2.4409574271780698E-2</v>
      </c>
      <c r="L63" s="6">
        <f t="shared" si="7"/>
        <v>0.94462871886697486</v>
      </c>
      <c r="M63" s="6"/>
      <c r="N63" s="6">
        <f t="shared" si="8"/>
        <v>4.6378191116383291E-2</v>
      </c>
      <c r="O63" s="6">
        <f t="shared" si="9"/>
        <v>0.87506143219239985</v>
      </c>
      <c r="P63" s="6"/>
      <c r="Q63" s="6">
        <f t="shared" si="10"/>
        <v>7.0494850496902559E-2</v>
      </c>
      <c r="R63" s="6">
        <f t="shared" si="11"/>
        <v>0.76931915644704607</v>
      </c>
    </row>
    <row r="64" spans="2:18">
      <c r="B64">
        <f t="shared" si="20"/>
        <v>60</v>
      </c>
      <c r="C64" s="4">
        <f t="shared" si="21"/>
        <v>11.599999999999991</v>
      </c>
      <c r="E64" s="6">
        <f t="shared" si="2"/>
        <v>8.7799087615898982E-3</v>
      </c>
      <c r="F64" s="6">
        <f t="shared" si="3"/>
        <v>0.97941262773144433</v>
      </c>
      <c r="G64" s="6"/>
      <c r="H64" s="6">
        <f t="shared" si="4"/>
        <v>8.7310849195188708E-3</v>
      </c>
      <c r="I64" s="6">
        <f t="shared" si="5"/>
        <v>0.98307833207371187</v>
      </c>
      <c r="J64" s="6"/>
      <c r="K64" s="6">
        <f t="shared" si="6"/>
        <v>2.2506796681426435E-2</v>
      </c>
      <c r="L64" s="6">
        <f t="shared" si="7"/>
        <v>0.9493181370515722</v>
      </c>
      <c r="M64" s="6"/>
      <c r="N64" s="6">
        <f t="shared" si="8"/>
        <v>4.3513140250757712E-2</v>
      </c>
      <c r="O64" s="6">
        <f t="shared" si="9"/>
        <v>0.88404842667543571</v>
      </c>
      <c r="P64" s="6"/>
      <c r="Q64" s="6">
        <f t="shared" si="10"/>
        <v>6.7300323587838523E-2</v>
      </c>
      <c r="R64" s="6">
        <f t="shared" si="11"/>
        <v>0.78309794129367805</v>
      </c>
    </row>
    <row r="65" spans="2:18">
      <c r="B65">
        <f t="shared" si="20"/>
        <v>61</v>
      </c>
      <c r="C65" s="4">
        <f t="shared" si="21"/>
        <v>11.79999999999999</v>
      </c>
      <c r="E65" s="6">
        <f t="shared" si="2"/>
        <v>8.0813622153667261E-3</v>
      </c>
      <c r="F65" s="6">
        <f t="shared" si="3"/>
        <v>0.98109783075049817</v>
      </c>
      <c r="G65" s="6"/>
      <c r="H65" s="6">
        <f t="shared" si="4"/>
        <v>7.9069741226886758E-3</v>
      </c>
      <c r="I65" s="6">
        <f t="shared" si="5"/>
        <v>0.98474085739365358</v>
      </c>
      <c r="J65" s="6"/>
      <c r="K65" s="6">
        <f t="shared" si="6"/>
        <v>2.0733843255050292E-2</v>
      </c>
      <c r="L65" s="6">
        <f t="shared" si="7"/>
        <v>0.95364009251107817</v>
      </c>
      <c r="M65" s="6"/>
      <c r="N65" s="6">
        <f t="shared" si="8"/>
        <v>4.0776558401598856E-2</v>
      </c>
      <c r="O65" s="6">
        <f t="shared" si="9"/>
        <v>0.89247525490867985</v>
      </c>
      <c r="P65" s="6"/>
      <c r="Q65" s="6">
        <f t="shared" si="10"/>
        <v>6.4155118551848828E-2</v>
      </c>
      <c r="R65" s="6">
        <f t="shared" si="11"/>
        <v>0.79624257708090662</v>
      </c>
    </row>
    <row r="66" spans="2:18">
      <c r="B66">
        <f t="shared" si="20"/>
        <v>62</v>
      </c>
      <c r="C66" s="4">
        <f t="shared" si="21"/>
        <v>11.999999999999989</v>
      </c>
      <c r="E66" s="6">
        <f t="shared" si="2"/>
        <v>7.4362565299991084E-3</v>
      </c>
      <c r="F66" s="6">
        <f t="shared" si="3"/>
        <v>0.98264873476333547</v>
      </c>
      <c r="G66" s="6"/>
      <c r="H66" s="6">
        <f t="shared" si="4"/>
        <v>7.1565360619202916E-3</v>
      </c>
      <c r="I66" s="6">
        <f t="shared" si="5"/>
        <v>0.98624603225599694</v>
      </c>
      <c r="J66" s="6"/>
      <c r="K66" s="6">
        <f t="shared" si="6"/>
        <v>1.9084096165120763E-2</v>
      </c>
      <c r="L66" s="6">
        <f t="shared" si="7"/>
        <v>0.95761988800831577</v>
      </c>
      <c r="M66" s="6"/>
      <c r="N66" s="6">
        <f t="shared" si="8"/>
        <v>3.8168192330241484E-2</v>
      </c>
      <c r="O66" s="6">
        <f t="shared" si="9"/>
        <v>0.90036759951295364</v>
      </c>
      <c r="P66" s="6"/>
      <c r="Q66" s="6">
        <f t="shared" si="10"/>
        <v>6.1069107728386321E-2</v>
      </c>
      <c r="R66" s="6">
        <f t="shared" si="11"/>
        <v>0.80876393792037404</v>
      </c>
    </row>
    <row r="67" spans="2:18">
      <c r="B67">
        <f t="shared" si="20"/>
        <v>63</v>
      </c>
      <c r="C67" s="4">
        <f t="shared" si="21"/>
        <v>12.199999999999989</v>
      </c>
      <c r="E67" s="6">
        <f t="shared" si="2"/>
        <v>6.8407465444317314E-3</v>
      </c>
      <c r="F67" s="6">
        <f t="shared" si="3"/>
        <v>0.98407563919165075</v>
      </c>
      <c r="G67" s="6"/>
      <c r="H67" s="6">
        <f t="shared" si="4"/>
        <v>6.4737228458273052E-3</v>
      </c>
      <c r="I67" s="6">
        <f t="shared" si="5"/>
        <v>0.9876079791991087</v>
      </c>
      <c r="J67" s="6"/>
      <c r="K67" s="6">
        <f t="shared" si="6"/>
        <v>1.7550981937576246E-2</v>
      </c>
      <c r="L67" s="6">
        <f t="shared" si="7"/>
        <v>0.96128150629274434</v>
      </c>
      <c r="M67" s="6"/>
      <c r="N67" s="6">
        <f t="shared" si="8"/>
        <v>3.568699660640498E-2</v>
      </c>
      <c r="O67" s="6">
        <f t="shared" si="9"/>
        <v>0.90775101138313685</v>
      </c>
      <c r="P67" s="6"/>
      <c r="Q67" s="6">
        <f t="shared" si="10"/>
        <v>5.8050847813085359E-2</v>
      </c>
      <c r="R67" s="6">
        <f t="shared" si="11"/>
        <v>0.82067473966350879</v>
      </c>
    </row>
    <row r="68" spans="2:18">
      <c r="B68">
        <f t="shared" si="20"/>
        <v>64</v>
      </c>
      <c r="C68" s="4">
        <f t="shared" si="21"/>
        <v>12.399999999999988</v>
      </c>
      <c r="E68" s="6">
        <f t="shared" si="2"/>
        <v>6.2912349725168081E-3</v>
      </c>
      <c r="F68" s="6">
        <f t="shared" si="3"/>
        <v>0.98538809941867056</v>
      </c>
      <c r="G68" s="6"/>
      <c r="H68" s="6">
        <f t="shared" si="4"/>
        <v>5.8529104635039126E-3</v>
      </c>
      <c r="I68" s="6">
        <f t="shared" si="5"/>
        <v>0.98883965388400941</v>
      </c>
      <c r="J68" s="6"/>
      <c r="K68" s="6">
        <f t="shared" si="6"/>
        <v>1.6128019943877435E-2</v>
      </c>
      <c r="L68" s="6">
        <f t="shared" si="7"/>
        <v>0.96464762396819326</v>
      </c>
      <c r="M68" s="6"/>
      <c r="N68" s="6">
        <f t="shared" si="8"/>
        <v>3.3331241217346673E-2</v>
      </c>
      <c r="O68" s="6">
        <f t="shared" si="9"/>
        <v>0.91465076214217333</v>
      </c>
      <c r="P68" s="6"/>
      <c r="Q68" s="6">
        <f t="shared" si="10"/>
        <v>5.5107652146013091E-2</v>
      </c>
      <c r="R68" s="6">
        <f t="shared" si="11"/>
        <v>0.83198928392315363</v>
      </c>
    </row>
    <row r="69" spans="2:18">
      <c r="B69">
        <f t="shared" si="20"/>
        <v>65</v>
      </c>
      <c r="C69" s="4">
        <f t="shared" si="21"/>
        <v>12.599999999999987</v>
      </c>
      <c r="E69" s="6">
        <f t="shared" si="2"/>
        <v>5.7843600476410878E-3</v>
      </c>
      <c r="F69" s="6">
        <f t="shared" si="3"/>
        <v>0.9865949751276889</v>
      </c>
      <c r="G69" s="6"/>
      <c r="H69" s="6">
        <f t="shared" si="4"/>
        <v>5.288879464686546E-3</v>
      </c>
      <c r="I69" s="6">
        <f t="shared" si="5"/>
        <v>0.98995292795568901</v>
      </c>
      <c r="J69" s="6"/>
      <c r="K69" s="6">
        <f t="shared" si="6"/>
        <v>1.4808862501122318E-2</v>
      </c>
      <c r="L69" s="6">
        <f t="shared" si="7"/>
        <v>0.96773963420400544</v>
      </c>
      <c r="M69" s="6"/>
      <c r="N69" s="6">
        <f t="shared" si="8"/>
        <v>3.1098611252356839E-2</v>
      </c>
      <c r="O69" s="6">
        <f t="shared" si="9"/>
        <v>0.92109171732547024</v>
      </c>
      <c r="P69" s="6"/>
      <c r="Q69" s="6">
        <f t="shared" si="10"/>
        <v>5.2245666903959403E-2</v>
      </c>
      <c r="R69" s="6">
        <f t="shared" si="11"/>
        <v>0.84272321696953112</v>
      </c>
    </row>
    <row r="70" spans="2:18">
      <c r="B70">
        <f t="shared" si="20"/>
        <v>66</v>
      </c>
      <c r="C70" s="4">
        <f t="shared" si="21"/>
        <v>12.799999999999986</v>
      </c>
      <c r="E70" s="6">
        <f t="shared" si="2"/>
        <v>5.3169832741566218E-3</v>
      </c>
      <c r="F70" s="6">
        <f t="shared" si="3"/>
        <v>0.98770447617851276</v>
      </c>
      <c r="G70" s="6"/>
      <c r="H70" s="6">
        <f t="shared" si="4"/>
        <v>4.7767948236945145E-3</v>
      </c>
      <c r="I70" s="6">
        <f t="shared" si="5"/>
        <v>0.9909586679518072</v>
      </c>
      <c r="J70" s="6"/>
      <c r="K70" s="6">
        <f t="shared" si="6"/>
        <v>1.3587327498508824E-2</v>
      </c>
      <c r="L70" s="6">
        <f t="shared" si="7"/>
        <v>0.97057767670404393</v>
      </c>
      <c r="M70" s="6"/>
      <c r="N70" s="6">
        <f t="shared" si="8"/>
        <v>2.8986298663485434E-2</v>
      </c>
      <c r="O70" s="6">
        <f t="shared" si="9"/>
        <v>0.92709822870881586</v>
      </c>
      <c r="P70" s="6"/>
      <c r="Q70" s="6">
        <f t="shared" si="10"/>
        <v>4.9469949719015145E-2</v>
      </c>
      <c r="R70" s="6">
        <f t="shared" si="11"/>
        <v>0.85289330413029307</v>
      </c>
    </row>
    <row r="71" spans="2:18">
      <c r="B71">
        <f t="shared" si="20"/>
        <v>67</v>
      </c>
      <c r="C71" s="4">
        <f t="shared" si="21"/>
        <v>12.999999999999986</v>
      </c>
      <c r="E71" s="6">
        <f t="shared" si="2"/>
        <v>4.8861773771771413E-3</v>
      </c>
      <c r="F71" s="6">
        <f t="shared" si="3"/>
        <v>0.9887242060526682</v>
      </c>
      <c r="G71" s="6"/>
      <c r="H71" s="6">
        <f t="shared" si="4"/>
        <v>4.3121853714632756E-3</v>
      </c>
      <c r="I71" s="6">
        <f t="shared" si="5"/>
        <v>0.99186681013518396</v>
      </c>
      <c r="J71" s="6"/>
      <c r="K71" s="6">
        <f t="shared" si="6"/>
        <v>1.2457424406449449E-2</v>
      </c>
      <c r="L71" s="6">
        <f t="shared" si="7"/>
        <v>0.97318067352550974</v>
      </c>
      <c r="M71" s="6"/>
      <c r="N71" s="6">
        <f t="shared" si="8"/>
        <v>2.6991086213973791E-2</v>
      </c>
      <c r="O71" s="6">
        <f t="shared" si="9"/>
        <v>0.93269404420454904</v>
      </c>
      <c r="P71" s="6"/>
      <c r="Q71" s="6">
        <f t="shared" si="10"/>
        <v>4.6784549437554501E-2</v>
      </c>
      <c r="R71" s="6">
        <f t="shared" si="11"/>
        <v>0.86251722004821729</v>
      </c>
    </row>
    <row r="72" spans="2:18">
      <c r="B72">
        <f t="shared" si="20"/>
        <v>68</v>
      </c>
      <c r="C72" s="4">
        <f t="shared" si="21"/>
        <v>13.199999999999985</v>
      </c>
      <c r="E72" s="6">
        <f t="shared" si="2"/>
        <v>4.4892145239080776E-3</v>
      </c>
      <c r="F72" s="6">
        <f t="shared" si="3"/>
        <v>0.98966120291463588</v>
      </c>
      <c r="G72" s="6"/>
      <c r="H72" s="6">
        <f t="shared" si="4"/>
        <v>3.8909231117979356E-3</v>
      </c>
      <c r="I72" s="6">
        <f t="shared" si="5"/>
        <v>0.99268643119636746</v>
      </c>
      <c r="J72" s="6"/>
      <c r="K72" s="6">
        <f t="shared" si="6"/>
        <v>1.1413374461273922E-2</v>
      </c>
      <c r="L72" s="6">
        <f t="shared" si="7"/>
        <v>0.97556636950445652</v>
      </c>
      <c r="M72" s="6"/>
      <c r="N72" s="6">
        <f t="shared" si="8"/>
        <v>2.5109423814802617E-2</v>
      </c>
      <c r="O72" s="6">
        <f t="shared" si="9"/>
        <v>0.93790223378225268</v>
      </c>
      <c r="P72" s="6"/>
      <c r="Q72" s="6">
        <f t="shared" si="10"/>
        <v>4.4192585914052528E-2</v>
      </c>
      <c r="R72" s="6">
        <f t="shared" si="11"/>
        <v>0.87161335491117387</v>
      </c>
    </row>
    <row r="73" spans="2:18">
      <c r="B73">
        <f t="shared" si="20"/>
        <v>69</v>
      </c>
      <c r="C73" s="4">
        <f t="shared" si="21"/>
        <v>13.399999999999984</v>
      </c>
      <c r="E73" s="6">
        <f t="shared" si="2"/>
        <v>4.1235548739561893E-3</v>
      </c>
      <c r="F73" s="6">
        <f t="shared" si="3"/>
        <v>0.99052197834941413</v>
      </c>
      <c r="G73" s="6"/>
      <c r="H73" s="6">
        <f t="shared" si="4"/>
        <v>3.5092026789454024E-3</v>
      </c>
      <c r="I73" s="6">
        <f t="shared" si="5"/>
        <v>0.99342581482974801</v>
      </c>
      <c r="J73" s="6"/>
      <c r="K73" s="6">
        <f t="shared" si="6"/>
        <v>1.0449625755081857E-2</v>
      </c>
      <c r="L73" s="6">
        <f t="shared" si="7"/>
        <v>0.97775137619712527</v>
      </c>
      <c r="M73" s="6"/>
      <c r="N73" s="6">
        <f t="shared" si="8"/>
        <v>2.3337497519682785E-2</v>
      </c>
      <c r="O73" s="6">
        <f t="shared" si="9"/>
        <v>0.94274512991760107</v>
      </c>
      <c r="P73" s="6"/>
      <c r="Q73" s="6">
        <f t="shared" si="10"/>
        <v>4.1696328901833196E-2</v>
      </c>
      <c r="R73" s="6">
        <f t="shared" si="11"/>
        <v>0.88020063656485126</v>
      </c>
    </row>
    <row r="74" spans="2:18">
      <c r="B74">
        <f t="shared" si="20"/>
        <v>70</v>
      </c>
      <c r="C74" s="4">
        <f t="shared" si="21"/>
        <v>13.599999999999984</v>
      </c>
      <c r="E74" s="6">
        <f t="shared" si="2"/>
        <v>3.7868355026723574E-3</v>
      </c>
      <c r="F74" s="6">
        <f t="shared" si="3"/>
        <v>0.9913125538468105</v>
      </c>
      <c r="G74" s="6"/>
      <c r="H74" s="6">
        <f t="shared" si="4"/>
        <v>3.1635211427226339E-3</v>
      </c>
      <c r="I74" s="6">
        <f t="shared" si="5"/>
        <v>0.99409251423288836</v>
      </c>
      <c r="J74" s="6"/>
      <c r="K74" s="6">
        <f t="shared" si="6"/>
        <v>9.5608638980061601E-3</v>
      </c>
      <c r="L74" s="6">
        <f t="shared" si="7"/>
        <v>0.97975121838587909</v>
      </c>
      <c r="M74" s="6"/>
      <c r="N74" s="6">
        <f t="shared" si="8"/>
        <v>2.1671291502147267E-2</v>
      </c>
      <c r="O74" s="6">
        <f t="shared" si="9"/>
        <v>0.94724428113265824</v>
      </c>
      <c r="P74" s="6"/>
      <c r="Q74" s="6">
        <f t="shared" si="10"/>
        <v>3.9297275257227031E-2</v>
      </c>
      <c r="R74" s="6">
        <f t="shared" si="11"/>
        <v>0.88829836824681774</v>
      </c>
    </row>
    <row r="75" spans="2:18">
      <c r="B75">
        <f t="shared" si="20"/>
        <v>71</v>
      </c>
      <c r="C75" s="4">
        <f t="shared" si="21"/>
        <v>13.799999999999983</v>
      </c>
      <c r="E75" s="6">
        <f t="shared" si="2"/>
        <v>3.4768597302173888E-3</v>
      </c>
      <c r="F75" s="6">
        <f t="shared" si="3"/>
        <v>0.99203849511051678</v>
      </c>
      <c r="G75" s="6"/>
      <c r="H75" s="6">
        <f t="shared" si="4"/>
        <v>2.8506583238305529E-3</v>
      </c>
      <c r="I75" s="6">
        <f t="shared" si="5"/>
        <v>0.99469341061551586</v>
      </c>
      <c r="J75" s="6"/>
      <c r="K75" s="6">
        <f t="shared" si="6"/>
        <v>8.7420188597470173E-3</v>
      </c>
      <c r="L75" s="6">
        <f t="shared" si="7"/>
        <v>0.98158038232589528</v>
      </c>
      <c r="M75" s="6"/>
      <c r="N75" s="6">
        <f t="shared" si="8"/>
        <v>2.0106643377418121E-2</v>
      </c>
      <c r="O75" s="6">
        <f t="shared" si="9"/>
        <v>0.95142041725976811</v>
      </c>
      <c r="P75" s="6"/>
      <c r="Q75" s="6">
        <f t="shared" si="10"/>
        <v>3.6996223814449294E-2</v>
      </c>
      <c r="R75" s="6">
        <f t="shared" si="11"/>
        <v>0.89592608153809417</v>
      </c>
    </row>
    <row r="76" spans="2:18">
      <c r="B76">
        <f t="shared" si="20"/>
        <v>72</v>
      </c>
      <c r="C76" s="4">
        <f t="shared" si="21"/>
        <v>13.999999999999982</v>
      </c>
      <c r="E76" s="6">
        <f t="shared" si="2"/>
        <v>3.1915868794408311E-3</v>
      </c>
      <c r="F76" s="6">
        <f t="shared" si="3"/>
        <v>0.99270494427556377</v>
      </c>
      <c r="G76" s="6"/>
      <c r="H76" s="6">
        <f t="shared" si="4"/>
        <v>2.567657744790704E-3</v>
      </c>
      <c r="I76" s="6">
        <f t="shared" si="5"/>
        <v>0.99523476783332843</v>
      </c>
      <c r="J76" s="6"/>
      <c r="K76" s="6">
        <f t="shared" si="6"/>
        <v>7.9882685393488449E-3</v>
      </c>
      <c r="L76" s="6">
        <f t="shared" si="7"/>
        <v>0.98325236502430524</v>
      </c>
      <c r="M76" s="6"/>
      <c r="N76" s="6">
        <f t="shared" si="8"/>
        <v>1.863929325848062E-2</v>
      </c>
      <c r="O76" s="6">
        <f t="shared" si="9"/>
        <v>0.95529342513658433</v>
      </c>
      <c r="P76" s="6"/>
      <c r="Q76" s="6">
        <f t="shared" si="10"/>
        <v>3.4793347415830428E-2</v>
      </c>
      <c r="R76" s="6">
        <f t="shared" si="11"/>
        <v>0.90310340401283873</v>
      </c>
    </row>
    <row r="77" spans="2:18">
      <c r="B77">
        <f t="shared" si="20"/>
        <v>73</v>
      </c>
      <c r="C77" s="4">
        <f t="shared" si="21"/>
        <v>14.199999999999982</v>
      </c>
      <c r="E77" s="6">
        <f t="shared" si="2"/>
        <v>2.9291224775939845E-3</v>
      </c>
      <c r="F77" s="6">
        <f t="shared" si="3"/>
        <v>0.99331665012154613</v>
      </c>
      <c r="G77" s="6"/>
      <c r="H77" s="6">
        <f t="shared" si="4"/>
        <v>2.3118083103983102E-3</v>
      </c>
      <c r="I77" s="6">
        <f t="shared" si="5"/>
        <v>0.99572228328361079</v>
      </c>
      <c r="J77" s="6"/>
      <c r="K77" s="6">
        <f t="shared" si="6"/>
        <v>7.2950395572568784E-3</v>
      </c>
      <c r="L77" s="6">
        <f t="shared" si="7"/>
        <v>0.9847797239477255</v>
      </c>
      <c r="M77" s="6"/>
      <c r="N77" s="6">
        <f t="shared" si="8"/>
        <v>1.7264926952174579E-2</v>
      </c>
      <c r="O77" s="6">
        <f t="shared" si="9"/>
        <v>0.95888233351946361</v>
      </c>
      <c r="P77" s="6"/>
      <c r="Q77" s="6">
        <f t="shared" si="10"/>
        <v>3.2688261696117174E-2</v>
      </c>
      <c r="R77" s="6">
        <f t="shared" si="11"/>
        <v>0.90984994097528782</v>
      </c>
    </row>
    <row r="78" spans="2:18">
      <c r="B78">
        <f t="shared" si="20"/>
        <v>74</v>
      </c>
      <c r="C78" s="4">
        <f t="shared" si="21"/>
        <v>14.399999999999981</v>
      </c>
      <c r="E78" s="6">
        <f t="shared" si="2"/>
        <v>2.687708910156069E-3</v>
      </c>
      <c r="F78" s="6">
        <f t="shared" si="3"/>
        <v>0.99387799637131113</v>
      </c>
      <c r="G78" s="6"/>
      <c r="H78" s="6">
        <f t="shared" si="4"/>
        <v>2.0806267849990535E-3</v>
      </c>
      <c r="I78" s="6">
        <f t="shared" si="5"/>
        <v>0.99616113521569838</v>
      </c>
      <c r="J78" s="6"/>
      <c r="K78" s="6">
        <f t="shared" si="6"/>
        <v>6.6580057119969569E-3</v>
      </c>
      <c r="L78" s="6">
        <f t="shared" si="7"/>
        <v>0.98617412664770288</v>
      </c>
      <c r="M78" s="6"/>
      <c r="N78" s="6">
        <f t="shared" si="8"/>
        <v>1.5979213708792676E-2</v>
      </c>
      <c r="O78" s="6">
        <f t="shared" si="9"/>
        <v>0.96220530608451393</v>
      </c>
      <c r="P78" s="6"/>
      <c r="Q78" s="6">
        <f t="shared" si="10"/>
        <v>3.0680090320881887E-2</v>
      </c>
      <c r="R78" s="6">
        <f t="shared" si="11"/>
        <v>0.91618517060319105</v>
      </c>
    </row>
    <row r="79" spans="2:18">
      <c r="B79">
        <f t="shared" si="20"/>
        <v>75</v>
      </c>
      <c r="C79" s="4">
        <f t="shared" si="21"/>
        <v>14.59999999999998</v>
      </c>
      <c r="E79" s="6">
        <f t="shared" si="2"/>
        <v>2.4657165294575531E-3</v>
      </c>
      <c r="F79" s="6">
        <f t="shared" si="3"/>
        <v>0.99439302816589104</v>
      </c>
      <c r="G79" s="6"/>
      <c r="H79" s="6">
        <f t="shared" si="4"/>
        <v>1.871841111640814E-3</v>
      </c>
      <c r="I79" s="6">
        <f t="shared" si="5"/>
        <v>0.99655602662049914</v>
      </c>
      <c r="J79" s="6"/>
      <c r="K79" s="6">
        <f t="shared" si="6"/>
        <v>6.0730844955457445E-3</v>
      </c>
      <c r="L79" s="6">
        <f t="shared" si="7"/>
        <v>0.98744639987718053</v>
      </c>
      <c r="M79" s="6"/>
      <c r="N79" s="6">
        <f t="shared" si="8"/>
        <v>1.477783893916128E-2</v>
      </c>
      <c r="O79" s="6">
        <f t="shared" si="9"/>
        <v>0.96527964146843859</v>
      </c>
      <c r="P79" s="6"/>
      <c r="Q79" s="6">
        <f t="shared" si="10"/>
        <v>2.8767526468233936E-2</v>
      </c>
      <c r="R79" s="6">
        <f t="shared" si="11"/>
        <v>0.92212835176608765</v>
      </c>
    </row>
    <row r="80" spans="2:18">
      <c r="B80">
        <f t="shared" si="20"/>
        <v>76</v>
      </c>
      <c r="C80" s="4">
        <f t="shared" si="21"/>
        <v>14.799999999999979</v>
      </c>
      <c r="E80" s="6">
        <f t="shared" si="2"/>
        <v>2.2616352161794391E-3</v>
      </c>
      <c r="F80" s="6">
        <f t="shared" si="3"/>
        <v>0.9948654768065115</v>
      </c>
      <c r="G80" s="6"/>
      <c r="H80" s="6">
        <f t="shared" si="4"/>
        <v>1.6833745996650447E-3</v>
      </c>
      <c r="I80" s="6">
        <f t="shared" si="5"/>
        <v>0.99691122587038272</v>
      </c>
      <c r="J80" s="6"/>
      <c r="K80" s="6">
        <f t="shared" si="6"/>
        <v>5.5364320166761414E-3</v>
      </c>
      <c r="L80" s="6">
        <f t="shared" si="7"/>
        <v>0.98860657784536854</v>
      </c>
      <c r="M80" s="6"/>
      <c r="N80" s="6">
        <f t="shared" si="8"/>
        <v>1.3656532307801133E-2</v>
      </c>
      <c r="O80" s="6">
        <f t="shared" si="9"/>
        <v>0.96812177938366673</v>
      </c>
      <c r="P80" s="6"/>
      <c r="Q80" s="6">
        <f t="shared" si="10"/>
        <v>2.6948890420727508E-2</v>
      </c>
      <c r="R80" s="6">
        <f t="shared" si="11"/>
        <v>0.92769844375257549</v>
      </c>
    </row>
    <row r="81" spans="2:18">
      <c r="B81">
        <f t="shared" si="20"/>
        <v>77</v>
      </c>
      <c r="C81" s="4">
        <f t="shared" si="21"/>
        <v>14.999999999999979</v>
      </c>
      <c r="E81" s="6">
        <f t="shared" si="2"/>
        <v>2.0740663880543949E-3</v>
      </c>
      <c r="F81" s="6">
        <f t="shared" si="3"/>
        <v>0.9952987828537434</v>
      </c>
      <c r="G81" s="6"/>
      <c r="H81" s="6">
        <f t="shared" si="4"/>
        <v>1.5133309920828458E-3</v>
      </c>
      <c r="I81" s="6">
        <f t="shared" si="5"/>
        <v>0.9972306042844884</v>
      </c>
      <c r="J81" s="6"/>
      <c r="K81" s="6">
        <f t="shared" si="6"/>
        <v>5.0444366402761466E-3</v>
      </c>
      <c r="L81" s="6">
        <f t="shared" si="7"/>
        <v>0.9896639493240742</v>
      </c>
      <c r="M81" s="6"/>
      <c r="N81" s="6">
        <f t="shared" si="8"/>
        <v>1.2611091600690351E-2</v>
      </c>
      <c r="O81" s="6">
        <f t="shared" si="9"/>
        <v>0.97074731192303865</v>
      </c>
      <c r="P81" s="6"/>
      <c r="Q81" s="6">
        <f t="shared" si="10"/>
        <v>2.5222183201380664E-2</v>
      </c>
      <c r="R81" s="6">
        <f t="shared" si="11"/>
        <v>0.93291403712096765</v>
      </c>
    </row>
    <row r="82" spans="2:18">
      <c r="B82">
        <f t="shared" si="20"/>
        <v>78</v>
      </c>
      <c r="C82" s="4">
        <f t="shared" si="21"/>
        <v>15.199999999999978</v>
      </c>
      <c r="E82" s="6">
        <f t="shared" si="2"/>
        <v>1.9017154470743391E-3</v>
      </c>
      <c r="F82" s="6">
        <f t="shared" si="3"/>
        <v>0.99569611767241073</v>
      </c>
      <c r="G82" s="6"/>
      <c r="H82" s="6">
        <f t="shared" si="4"/>
        <v>1.3599804116814632E-3</v>
      </c>
      <c r="I82" s="6">
        <f t="shared" si="5"/>
        <v>0.99751767079548914</v>
      </c>
      <c r="J82" s="6"/>
      <c r="K82" s="6">
        <f t="shared" si="6"/>
        <v>4.5937116127907117E-3</v>
      </c>
      <c r="L82" s="6">
        <f t="shared" si="7"/>
        <v>0.990627103376303</v>
      </c>
      <c r="M82" s="6"/>
      <c r="N82" s="6">
        <f t="shared" si="8"/>
        <v>1.1637402752403119E-2</v>
      </c>
      <c r="O82" s="6">
        <f t="shared" si="9"/>
        <v>0.97317099924769845</v>
      </c>
      <c r="P82" s="6"/>
      <c r="Q82" s="6">
        <f t="shared" si="10"/>
        <v>2.3585136244870283E-2</v>
      </c>
      <c r="R82" s="6">
        <f t="shared" si="11"/>
        <v>0.93779329488039298</v>
      </c>
    </row>
    <row r="83" spans="2:18">
      <c r="B83">
        <f t="shared" si="20"/>
        <v>79</v>
      </c>
      <c r="C83" s="4">
        <f t="shared" si="21"/>
        <v>15.399999999999977</v>
      </c>
      <c r="E83" s="6">
        <f t="shared" si="2"/>
        <v>1.7433846541141864E-3</v>
      </c>
      <c r="F83" s="6">
        <f t="shared" si="3"/>
        <v>0.99606040350888481</v>
      </c>
      <c r="G83" s="6"/>
      <c r="H83" s="6">
        <f t="shared" si="4"/>
        <v>1.2217461748314591E-3</v>
      </c>
      <c r="I83" s="6">
        <f t="shared" si="5"/>
        <v>0.99777560389260211</v>
      </c>
      <c r="J83" s="6"/>
      <c r="K83" s="6">
        <f t="shared" si="6"/>
        <v>4.1810869094232109E-3</v>
      </c>
      <c r="L83" s="6">
        <f t="shared" si="7"/>
        <v>0.99150397352846731</v>
      </c>
      <c r="M83" s="6"/>
      <c r="N83" s="6">
        <f t="shared" si="8"/>
        <v>1.0731456400852891E-2</v>
      </c>
      <c r="O83" s="6">
        <f t="shared" si="9"/>
        <v>0.97540678892718802</v>
      </c>
      <c r="P83" s="6"/>
      <c r="Q83" s="6">
        <f t="shared" si="10"/>
        <v>2.2035257143084561E-2</v>
      </c>
      <c r="R83" s="6">
        <f t="shared" si="11"/>
        <v>0.94235390321256118</v>
      </c>
    </row>
    <row r="84" spans="2:18">
      <c r="B84">
        <f t="shared" si="20"/>
        <v>80</v>
      </c>
      <c r="C84" s="4">
        <f t="shared" si="21"/>
        <v>15.599999999999977</v>
      </c>
      <c r="E84" s="6">
        <f t="shared" si="2"/>
        <v>1.5979664180211849E-3</v>
      </c>
      <c r="F84" s="6">
        <f t="shared" si="3"/>
        <v>0.99639433218497786</v>
      </c>
      <c r="G84" s="6"/>
      <c r="H84" s="6">
        <f t="shared" si="4"/>
        <v>1.0971924540629941E-3</v>
      </c>
      <c r="I84" s="6">
        <f t="shared" si="5"/>
        <v>0.99800728101260971</v>
      </c>
      <c r="J84" s="6"/>
      <c r="K84" s="6">
        <f t="shared" si="6"/>
        <v>3.8036005074183715E-3</v>
      </c>
      <c r="L84" s="6">
        <f t="shared" si="7"/>
        <v>0.99230188025148214</v>
      </c>
      <c r="M84" s="6"/>
      <c r="N84" s="6">
        <f t="shared" si="8"/>
        <v>9.8893613192877483E-3</v>
      </c>
      <c r="O84" s="6">
        <f t="shared" si="9"/>
        <v>0.97746783827255057</v>
      </c>
      <c r="P84" s="6"/>
      <c r="Q84" s="6">
        <f t="shared" si="10"/>
        <v>2.056987154411849E-2</v>
      </c>
      <c r="R84" s="6">
        <f t="shared" si="11"/>
        <v>0.94661303095637284</v>
      </c>
    </row>
    <row r="85" spans="2:18">
      <c r="B85">
        <f t="shared" si="20"/>
        <v>81</v>
      </c>
      <c r="C85" s="4">
        <f t="shared" si="21"/>
        <v>15.799999999999976</v>
      </c>
      <c r="E85" s="6">
        <f t="shared" si="2"/>
        <v>1.4644369848134144E-3</v>
      </c>
      <c r="F85" s="6">
        <f t="shared" si="3"/>
        <v>0.99670038248991411</v>
      </c>
      <c r="G85" s="6"/>
      <c r="H85" s="6">
        <f t="shared" si="4"/>
        <v>9.8501276434336893E-4</v>
      </c>
      <c r="I85" s="6">
        <f t="shared" si="5"/>
        <v>0.99821530554622595</v>
      </c>
      <c r="J85" s="6"/>
      <c r="K85" s="6">
        <f t="shared" si="6"/>
        <v>3.4584892614722687E-3</v>
      </c>
      <c r="L85" s="6">
        <f t="shared" si="7"/>
        <v>0.99302757165401756</v>
      </c>
      <c r="M85" s="6"/>
      <c r="N85" s="6">
        <f t="shared" si="8"/>
        <v>9.1073550552102905E-3</v>
      </c>
      <c r="O85" s="6">
        <f t="shared" si="9"/>
        <v>0.97936653907120208</v>
      </c>
      <c r="P85" s="6"/>
      <c r="Q85" s="6">
        <f t="shared" si="10"/>
        <v>1.9186161316309638E-2</v>
      </c>
      <c r="R85" s="6">
        <f t="shared" si="11"/>
        <v>0.95058729709673773</v>
      </c>
    </row>
    <row r="86" spans="2:18">
      <c r="B86">
        <f t="shared" si="20"/>
        <v>82</v>
      </c>
      <c r="C86" s="4">
        <f t="shared" si="21"/>
        <v>15.999999999999975</v>
      </c>
      <c r="E86" s="6">
        <f t="shared" si="2"/>
        <v>1.3418505116100622E-3</v>
      </c>
      <c r="F86" s="6">
        <f t="shared" si="3"/>
        <v>0.99698083634887735</v>
      </c>
      <c r="G86" s="6"/>
      <c r="H86" s="6">
        <f t="shared" si="4"/>
        <v>8.8401924334695629E-4</v>
      </c>
      <c r="I86" s="6">
        <f t="shared" si="5"/>
        <v>0.99840203162164531</v>
      </c>
      <c r="J86" s="6"/>
      <c r="K86" s="6">
        <f t="shared" si="6"/>
        <v>3.1431795319002845E-3</v>
      </c>
      <c r="L86" s="6">
        <f t="shared" si="7"/>
        <v>0.9936872623237949</v>
      </c>
      <c r="M86" s="6"/>
      <c r="N86" s="6">
        <f t="shared" si="8"/>
        <v>8.3818120850674086E-3</v>
      </c>
      <c r="O86" s="6">
        <f t="shared" si="9"/>
        <v>0.98111454419619371</v>
      </c>
      <c r="P86" s="6"/>
      <c r="Q86" s="6">
        <f t="shared" si="10"/>
        <v>1.7881199114810439E-2</v>
      </c>
      <c r="R86" s="6">
        <f t="shared" si="11"/>
        <v>0.95429274552397803</v>
      </c>
    </row>
    <row r="87" spans="2:18">
      <c r="B87">
        <f t="shared" si="20"/>
        <v>83</v>
      </c>
      <c r="C87" s="4">
        <f t="shared" si="21"/>
        <v>16.199999999999974</v>
      </c>
      <c r="E87" s="6">
        <f t="shared" si="2"/>
        <v>1.2293335092194238E-3</v>
      </c>
      <c r="F87" s="6">
        <f t="shared" si="3"/>
        <v>0.99723779384348221</v>
      </c>
      <c r="G87" s="6"/>
      <c r="H87" s="6">
        <f t="shared" si="4"/>
        <v>7.9313269262637617E-4</v>
      </c>
      <c r="I87" s="6">
        <f t="shared" si="5"/>
        <v>0.99856958682080865</v>
      </c>
      <c r="J87" s="6"/>
      <c r="K87" s="6">
        <f t="shared" si="6"/>
        <v>2.8552776934549491E-3</v>
      </c>
      <c r="L87" s="6">
        <f t="shared" si="7"/>
        <v>0.99428667028062612</v>
      </c>
      <c r="M87" s="6"/>
      <c r="N87" s="6">
        <f t="shared" si="8"/>
        <v>7.7092497723283511E-3</v>
      </c>
      <c r="O87" s="6">
        <f t="shared" si="9"/>
        <v>0.9827227956221336</v>
      </c>
      <c r="P87" s="6"/>
      <c r="Q87" s="6">
        <f t="shared" si="10"/>
        <v>1.6651979508229209E-2</v>
      </c>
      <c r="R87" s="6">
        <f t="shared" si="11"/>
        <v>0.95774482635978986</v>
      </c>
    </row>
    <row r="88" spans="2:18">
      <c r="B88">
        <f t="shared" si="20"/>
        <v>84</v>
      </c>
      <c r="C88" s="4">
        <f t="shared" si="21"/>
        <v>16.399999999999974</v>
      </c>
      <c r="E88" s="6">
        <f t="shared" si="2"/>
        <v>1.1260796368857966E-3</v>
      </c>
      <c r="F88" s="6">
        <f t="shared" si="3"/>
        <v>0.99747318715625632</v>
      </c>
      <c r="G88" s="6"/>
      <c r="H88" s="6">
        <f t="shared" si="4"/>
        <v>7.1137334426490083E-4</v>
      </c>
      <c r="I88" s="6">
        <f t="shared" si="5"/>
        <v>0.99871989297705688</v>
      </c>
      <c r="J88" s="6"/>
      <c r="K88" s="6">
        <f t="shared" si="6"/>
        <v>2.5925606324320796E-3</v>
      </c>
      <c r="L88" s="6">
        <f t="shared" si="7"/>
        <v>0.99483105202840882</v>
      </c>
      <c r="M88" s="6"/>
      <c r="N88" s="6">
        <f t="shared" si="8"/>
        <v>7.0863323953143393E-3</v>
      </c>
      <c r="O88" s="6">
        <f t="shared" si="9"/>
        <v>0.98420155343543736</v>
      </c>
      <c r="P88" s="6"/>
      <c r="Q88" s="6">
        <f t="shared" si="10"/>
        <v>1.5495446837753989E-2</v>
      </c>
      <c r="R88" s="6">
        <f t="shared" si="11"/>
        <v>0.96095838317880622</v>
      </c>
    </row>
    <row r="89" spans="2:18">
      <c r="B89">
        <f t="shared" si="20"/>
        <v>85</v>
      </c>
      <c r="C89" s="4">
        <f t="shared" si="21"/>
        <v>16.599999999999973</v>
      </c>
      <c r="E89" s="6">
        <f t="shared" si="2"/>
        <v>1.0313448324980135E-3</v>
      </c>
      <c r="F89" s="6">
        <f t="shared" si="3"/>
        <v>0.99768879350789597</v>
      </c>
      <c r="G89" s="6"/>
      <c r="H89" s="6">
        <f t="shared" si="4"/>
        <v>6.3785231613570697E-4</v>
      </c>
      <c r="I89" s="6">
        <f t="shared" si="5"/>
        <v>0.99885468519559883</v>
      </c>
      <c r="J89" s="6"/>
      <c r="K89" s="6">
        <f t="shared" si="6"/>
        <v>2.3529663217450492E-3</v>
      </c>
      <c r="L89" s="6">
        <f t="shared" si="7"/>
        <v>0.99532523571298126</v>
      </c>
      <c r="M89" s="6"/>
      <c r="N89" s="6">
        <f t="shared" si="8"/>
        <v>6.5098734901612946E-3</v>
      </c>
      <c r="O89" s="6">
        <f t="shared" si="9"/>
        <v>0.98556042547773925</v>
      </c>
      <c r="P89" s="6"/>
      <c r="Q89" s="6">
        <f t="shared" si="10"/>
        <v>1.4408519991556979E-2</v>
      </c>
      <c r="R89" s="6">
        <f t="shared" si="11"/>
        <v>0.9639476454904039</v>
      </c>
    </row>
    <row r="90" spans="2:18">
      <c r="B90">
        <f t="shared" si="20"/>
        <v>86</v>
      </c>
      <c r="C90" s="4">
        <f t="shared" si="21"/>
        <v>16.799999999999972</v>
      </c>
      <c r="E90" s="6">
        <f t="shared" si="2"/>
        <v>9.4444276155117443E-4</v>
      </c>
      <c r="F90" s="6">
        <f t="shared" si="3"/>
        <v>0.99788624715271879</v>
      </c>
      <c r="G90" s="6"/>
      <c r="H90" s="6">
        <f t="shared" si="4"/>
        <v>5.7176371815968177E-4</v>
      </c>
      <c r="I90" s="6">
        <f t="shared" si="5"/>
        <v>0.99897552923075916</v>
      </c>
      <c r="J90" s="6"/>
      <c r="K90" s="6">
        <f t="shared" si="6"/>
        <v>2.1345845477961415E-3</v>
      </c>
      <c r="L90" s="6">
        <f t="shared" si="7"/>
        <v>0.99577365240906501</v>
      </c>
      <c r="M90" s="6"/>
      <c r="N90" s="6">
        <f t="shared" si="8"/>
        <v>5.976836733829185E-3</v>
      </c>
      <c r="O90" s="6">
        <f t="shared" si="9"/>
        <v>0.98680839730832115</v>
      </c>
      <c r="P90" s="6"/>
      <c r="Q90" s="6">
        <f t="shared" si="10"/>
        <v>1.3388114283777352E-2</v>
      </c>
      <c r="R90" s="6">
        <f t="shared" si="11"/>
        <v>0.96672622588265522</v>
      </c>
    </row>
    <row r="91" spans="2:18">
      <c r="B91">
        <f t="shared" si="20"/>
        <v>87</v>
      </c>
      <c r="C91" s="4">
        <f t="shared" si="21"/>
        <v>16.999999999999972</v>
      </c>
      <c r="E91" s="6">
        <f t="shared" si="2"/>
        <v>8.6474056829524866E-4</v>
      </c>
      <c r="F91" s="6">
        <f t="shared" si="3"/>
        <v>0.99806705049439892</v>
      </c>
      <c r="G91" s="6"/>
      <c r="H91" s="6">
        <f t="shared" si="4"/>
        <v>5.123773718070146E-4</v>
      </c>
      <c r="I91" s="6">
        <f t="shared" si="5"/>
        <v>0.99908383734643158</v>
      </c>
      <c r="J91" s="6"/>
      <c r="K91" s="6">
        <f t="shared" si="6"/>
        <v>1.9356478490487213E-3</v>
      </c>
      <c r="L91" s="6">
        <f t="shared" si="7"/>
        <v>0.99618036557285849</v>
      </c>
      <c r="M91" s="6"/>
      <c r="N91" s="6">
        <f t="shared" si="8"/>
        <v>5.4843355723046983E-3</v>
      </c>
      <c r="O91" s="6">
        <f t="shared" si="9"/>
        <v>0.98795386221440151</v>
      </c>
      <c r="P91" s="6"/>
      <c r="Q91" s="6">
        <f t="shared" si="10"/>
        <v>1.2431160630557299E-2</v>
      </c>
      <c r="R91" s="6">
        <f t="shared" si="11"/>
        <v>0.96930712126856555</v>
      </c>
    </row>
    <row r="92" spans="2:18">
      <c r="B92">
        <f t="shared" si="20"/>
        <v>88</v>
      </c>
      <c r="C92" s="4">
        <f t="shared" si="21"/>
        <v>17.199999999999971</v>
      </c>
      <c r="E92" s="6">
        <f t="shared" si="2"/>
        <v>7.9165491277060056E-4</v>
      </c>
      <c r="F92" s="6">
        <f t="shared" si="3"/>
        <v>0.99823258438079121</v>
      </c>
      <c r="G92" s="6"/>
      <c r="H92" s="6">
        <f t="shared" si="4"/>
        <v>4.5903210541485491E-4</v>
      </c>
      <c r="I92" s="6">
        <f t="shared" si="5"/>
        <v>0.99918088277863182</v>
      </c>
      <c r="J92" s="6"/>
      <c r="K92" s="6">
        <f t="shared" si="6"/>
        <v>1.7545227140301105E-3</v>
      </c>
      <c r="L92" s="6">
        <f t="shared" si="7"/>
        <v>0.99654909870758668</v>
      </c>
      <c r="M92" s="6"/>
      <c r="N92" s="6">
        <f t="shared" si="8"/>
        <v>5.0296317802196412E-3</v>
      </c>
      <c r="O92" s="6">
        <f t="shared" si="9"/>
        <v>0.98900465103725721</v>
      </c>
      <c r="P92" s="6"/>
      <c r="Q92" s="6">
        <f t="shared" si="10"/>
        <v>1.1534622215970344E-2</v>
      </c>
      <c r="R92" s="6">
        <f t="shared" si="11"/>
        <v>0.97170271771330174</v>
      </c>
    </row>
    <row r="93" spans="2:18">
      <c r="B93">
        <f t="shared" si="20"/>
        <v>89</v>
      </c>
      <c r="C93" s="4">
        <f t="shared" si="21"/>
        <v>17.39999999999997</v>
      </c>
      <c r="E93" s="6">
        <f t="shared" si="2"/>
        <v>7.24648277796215E-4</v>
      </c>
      <c r="F93" s="6">
        <f t="shared" si="3"/>
        <v>0.99838411763341994</v>
      </c>
      <c r="G93" s="6"/>
      <c r="H93" s="6">
        <f t="shared" si="4"/>
        <v>4.1112958859649949E-4</v>
      </c>
      <c r="I93" s="6">
        <f t="shared" si="5"/>
        <v>0.99926781291162858</v>
      </c>
      <c r="J93" s="6"/>
      <c r="K93" s="6">
        <f t="shared" si="6"/>
        <v>1.5897010759064638E-3</v>
      </c>
      <c r="L93" s="6">
        <f t="shared" si="7"/>
        <v>0.99688326129776883</v>
      </c>
      <c r="M93" s="6"/>
      <c r="N93" s="6">
        <f t="shared" si="8"/>
        <v>4.610133120128734E-3</v>
      </c>
      <c r="O93" s="6">
        <f t="shared" si="9"/>
        <v>0.98996806161757567</v>
      </c>
      <c r="P93" s="6"/>
      <c r="Q93" s="6">
        <f t="shared" si="10"/>
        <v>1.0695508838698641E-2</v>
      </c>
      <c r="R93" s="6">
        <f t="shared" si="11"/>
        <v>0.97392479835952783</v>
      </c>
    </row>
    <row r="94" spans="2:18">
      <c r="B94">
        <f t="shared" si="20"/>
        <v>90</v>
      </c>
      <c r="C94" s="4">
        <f t="shared" si="21"/>
        <v>17.599999999999969</v>
      </c>
      <c r="E94" s="6">
        <f t="shared" si="2"/>
        <v>6.6322553042010609E-4</v>
      </c>
      <c r="F94" s="6">
        <f t="shared" si="3"/>
        <v>0.99852281586406433</v>
      </c>
      <c r="G94" s="6"/>
      <c r="H94" s="6">
        <f t="shared" si="4"/>
        <v>3.681286700143004E-4</v>
      </c>
      <c r="I94" s="6">
        <f t="shared" si="5"/>
        <v>0.99934566127187763</v>
      </c>
      <c r="J94" s="6"/>
      <c r="K94" s="6">
        <f t="shared" si="6"/>
        <v>1.4397921316114844E-3</v>
      </c>
      <c r="L94" s="6">
        <f t="shared" si="7"/>
        <v>0.99718597307446044</v>
      </c>
      <c r="M94" s="6"/>
      <c r="N94" s="6">
        <f t="shared" si="8"/>
        <v>4.2233902527270117E-3</v>
      </c>
      <c r="O94" s="6">
        <f t="shared" si="9"/>
        <v>0.99085088769536989</v>
      </c>
      <c r="P94" s="6"/>
      <c r="Q94" s="6">
        <f t="shared" si="10"/>
        <v>9.9108891263993745E-3</v>
      </c>
      <c r="R94" s="6">
        <f t="shared" si="11"/>
        <v>0.97598455400577089</v>
      </c>
    </row>
    <row r="95" spans="2:18">
      <c r="B95">
        <f t="shared" si="20"/>
        <v>91</v>
      </c>
      <c r="C95" s="4">
        <f t="shared" si="21"/>
        <v>17.799999999999969</v>
      </c>
      <c r="E95" s="6">
        <f t="shared" si="2"/>
        <v>6.0693072284495966E-4</v>
      </c>
      <c r="F95" s="6">
        <f t="shared" si="3"/>
        <v>0.99864974962782804</v>
      </c>
      <c r="G95" s="6"/>
      <c r="H95" s="6">
        <f t="shared" si="4"/>
        <v>3.2954018400858991E-4</v>
      </c>
      <c r="I95" s="6">
        <f t="shared" si="5"/>
        <v>0.99941535843696161</v>
      </c>
      <c r="J95" s="6"/>
      <c r="K95" s="6">
        <f t="shared" si="6"/>
        <v>1.3035145056339754E-3</v>
      </c>
      <c r="L95" s="6">
        <f t="shared" si="7"/>
        <v>0.99746008667851072</v>
      </c>
      <c r="M95" s="6"/>
      <c r="N95" s="6">
        <f t="shared" si="8"/>
        <v>3.8670930333807875E-3</v>
      </c>
      <c r="O95" s="6">
        <f t="shared" si="9"/>
        <v>0.99165944712843945</v>
      </c>
      <c r="P95" s="6"/>
      <c r="Q95" s="6">
        <f t="shared" si="10"/>
        <v>9.1779007992237246E-3</v>
      </c>
      <c r="R95" s="6">
        <f t="shared" si="11"/>
        <v>0.97789259592960387</v>
      </c>
    </row>
    <row r="96" spans="2:18">
      <c r="B96">
        <f t="shared" si="20"/>
        <v>92</v>
      </c>
      <c r="C96" s="4">
        <f t="shared" si="21"/>
        <v>17.999999999999968</v>
      </c>
      <c r="E96" s="6">
        <f t="shared" si="2"/>
        <v>5.5534411839006591E-4</v>
      </c>
      <c r="F96" s="6">
        <f t="shared" si="3"/>
        <v>0.99876590195913317</v>
      </c>
      <c r="G96" s="6"/>
      <c r="H96" s="6">
        <f t="shared" si="4"/>
        <v>2.9492219295975915E-4</v>
      </c>
      <c r="I96" s="6">
        <f t="shared" si="5"/>
        <v>0.99947774194996708</v>
      </c>
      <c r="J96" s="6"/>
      <c r="K96" s="6">
        <f t="shared" si="6"/>
        <v>1.179688771839036E-3</v>
      </c>
      <c r="L96" s="6">
        <f t="shared" si="7"/>
        <v>0.99770820879220856</v>
      </c>
      <c r="M96" s="6"/>
      <c r="N96" s="6">
        <f t="shared" si="8"/>
        <v>3.539066315517099E-3</v>
      </c>
      <c r="O96" s="6">
        <f t="shared" si="9"/>
        <v>0.9923996093189329</v>
      </c>
      <c r="P96" s="6"/>
      <c r="Q96" s="6">
        <f t="shared" si="10"/>
        <v>8.4937591572410206E-3</v>
      </c>
      <c r="R96" s="6">
        <f t="shared" si="11"/>
        <v>0.97965897058307139</v>
      </c>
    </row>
    <row r="97" spans="2:18">
      <c r="B97">
        <f t="shared" si="20"/>
        <v>93</v>
      </c>
      <c r="C97" s="4">
        <f t="shared" si="21"/>
        <v>18.199999999999967</v>
      </c>
      <c r="E97" s="6">
        <f t="shared" si="2"/>
        <v>5.0807942863003005E-4</v>
      </c>
      <c r="F97" s="6">
        <f t="shared" si="3"/>
        <v>0.99887217533424977</v>
      </c>
      <c r="G97" s="6"/>
      <c r="H97" s="6">
        <f t="shared" si="4"/>
        <v>2.6387563376083635E-4</v>
      </c>
      <c r="I97" s="6">
        <f t="shared" si="5"/>
        <v>0.99953356532326021</v>
      </c>
      <c r="J97" s="6"/>
      <c r="K97" s="6">
        <f t="shared" si="6"/>
        <v>1.0672303409882695E-3</v>
      </c>
      <c r="L97" s="6">
        <f t="shared" si="7"/>
        <v>0.99793271981177778</v>
      </c>
      <c r="M97" s="6"/>
      <c r="N97" s="6">
        <f t="shared" si="8"/>
        <v>3.2372653676644111E-3</v>
      </c>
      <c r="O97" s="6">
        <f t="shared" si="9"/>
        <v>0.99307682176028111</v>
      </c>
      <c r="P97" s="6"/>
      <c r="Q97" s="6">
        <f t="shared" si="10"/>
        <v>7.8557639588656275E-3</v>
      </c>
      <c r="R97" s="6">
        <f t="shared" si="11"/>
        <v>0.98129317582198272</v>
      </c>
    </row>
    <row r="98" spans="2:18">
      <c r="B98">
        <f t="shared" si="20"/>
        <v>94</v>
      </c>
      <c r="C98" s="4">
        <f t="shared" si="21"/>
        <v>18.399999999999967</v>
      </c>
      <c r="E98" s="6">
        <f t="shared" si="2"/>
        <v>4.6478124845063652E-4</v>
      </c>
      <c r="F98" s="6">
        <f t="shared" si="3"/>
        <v>0.99896939810126162</v>
      </c>
      <c r="G98" s="6"/>
      <c r="H98" s="6">
        <f t="shared" si="4"/>
        <v>2.36040338352748E-4</v>
      </c>
      <c r="I98" s="6">
        <f t="shared" si="5"/>
        <v>0.99958350620945025</v>
      </c>
      <c r="J98" s="6"/>
      <c r="K98" s="6">
        <f t="shared" si="6"/>
        <v>9.6514271682012376E-4</v>
      </c>
      <c r="L98" s="6">
        <f t="shared" si="7"/>
        <v>0.99813579213421999</v>
      </c>
      <c r="M98" s="6"/>
      <c r="N98" s="6">
        <f t="shared" si="8"/>
        <v>2.9597709982483729E-3</v>
      </c>
      <c r="O98" s="6">
        <f t="shared" si="9"/>
        <v>0.99369613563684744</v>
      </c>
      <c r="P98" s="6"/>
      <c r="Q98" s="6">
        <f t="shared" si="10"/>
        <v>7.2613048490360018E-3</v>
      </c>
      <c r="R98" s="6">
        <f t="shared" si="11"/>
        <v>0.98280417836329348</v>
      </c>
    </row>
    <row r="99" spans="2:18">
      <c r="B99">
        <f t="shared" si="20"/>
        <v>95</v>
      </c>
      <c r="C99" s="4">
        <f t="shared" si="21"/>
        <v>18.599999999999966</v>
      </c>
      <c r="E99" s="6">
        <f t="shared" si="2"/>
        <v>4.2512267637351286E-4</v>
      </c>
      <c r="F99" s="6">
        <f t="shared" si="3"/>
        <v>0.99905833041577474</v>
      </c>
      <c r="G99" s="6"/>
      <c r="H99" s="6">
        <f t="shared" si="4"/>
        <v>2.1109139989023421E-4</v>
      </c>
      <c r="I99" s="6">
        <f t="shared" si="5"/>
        <v>0.99962817381148361</v>
      </c>
      <c r="J99" s="6"/>
      <c r="K99" s="6">
        <f t="shared" si="6"/>
        <v>8.7251111954629969E-4</v>
      </c>
      <c r="L99" s="6">
        <f t="shared" si="7"/>
        <v>0.99831940713216416</v>
      </c>
      <c r="M99" s="6"/>
      <c r="N99" s="6">
        <f t="shared" si="8"/>
        <v>2.7047844705935255E-3</v>
      </c>
      <c r="O99" s="6">
        <f t="shared" si="9"/>
        <v>0.99426223042627393</v>
      </c>
      <c r="P99" s="6"/>
      <c r="Q99" s="6">
        <f t="shared" si="10"/>
        <v>6.7078654870719274E-3</v>
      </c>
      <c r="R99" s="6">
        <f t="shared" si="11"/>
        <v>0.98420043219566611</v>
      </c>
    </row>
    <row r="100" spans="2:18">
      <c r="B100">
        <f t="shared" si="20"/>
        <v>96</v>
      </c>
      <c r="C100" s="4">
        <f t="shared" si="21"/>
        <v>18.799999999999965</v>
      </c>
      <c r="E100" s="6">
        <f t="shared" si="2"/>
        <v>3.888031081161777E-4</v>
      </c>
      <c r="F100" s="6">
        <f t="shared" si="3"/>
        <v>0.999139669718211</v>
      </c>
      <c r="G100" s="6"/>
      <c r="H100" s="6">
        <f t="shared" si="4"/>
        <v>1.8873585773567287E-4</v>
      </c>
      <c r="I100" s="6">
        <f t="shared" si="5"/>
        <v>0.99966811559828739</v>
      </c>
      <c r="J100" s="6"/>
      <c r="K100" s="6">
        <f t="shared" si="6"/>
        <v>7.8849647231792172E-4</v>
      </c>
      <c r="L100" s="6">
        <f t="shared" si="7"/>
        <v>0.99848537088981049</v>
      </c>
      <c r="M100" s="6"/>
      <c r="N100" s="6">
        <f t="shared" si="8"/>
        <v>2.4706222799294819E-3</v>
      </c>
      <c r="O100" s="6">
        <f t="shared" si="9"/>
        <v>0.99477943746991637</v>
      </c>
      <c r="P100" s="6"/>
      <c r="Q100" s="6">
        <f t="shared" si="10"/>
        <v>6.1930265150232158E-3</v>
      </c>
      <c r="R100" s="6">
        <f t="shared" si="11"/>
        <v>0.98548989769738149</v>
      </c>
    </row>
    <row r="101" spans="2:18">
      <c r="B101">
        <f t="shared" si="20"/>
        <v>97</v>
      </c>
      <c r="C101" s="4">
        <f t="shared" si="21"/>
        <v>18.999999999999964</v>
      </c>
      <c r="E101" s="6">
        <f t="shared" si="2"/>
        <v>3.5554619196658351E-4</v>
      </c>
      <c r="F101" s="6">
        <f t="shared" si="3"/>
        <v>0.99921405578617906</v>
      </c>
      <c r="G101" s="6"/>
      <c r="H101" s="6">
        <f t="shared" si="4"/>
        <v>1.687096760987372E-4</v>
      </c>
      <c r="I101" s="6">
        <f t="shared" si="5"/>
        <v>0.99970382338718122</v>
      </c>
      <c r="J101" s="6"/>
      <c r="K101" s="6">
        <f t="shared" si="6"/>
        <v>7.1232974352800017E-4</v>
      </c>
      <c r="L101" s="6">
        <f t="shared" si="7"/>
        <v>0.99863532877188921</v>
      </c>
      <c r="M101" s="6"/>
      <c r="N101" s="6">
        <f t="shared" si="8"/>
        <v>2.2557108545053287E-3</v>
      </c>
      <c r="O101" s="6">
        <f t="shared" si="9"/>
        <v>0.99525176249013125</v>
      </c>
      <c r="P101" s="6"/>
      <c r="Q101" s="6">
        <f t="shared" si="10"/>
        <v>5.7144674980801613E-3</v>
      </c>
      <c r="R101" s="6">
        <f t="shared" si="11"/>
        <v>0.986680061243011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Gamma_k,theta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Drouin</dc:creator>
  <cp:lastModifiedBy>Jerome Drouin</cp:lastModifiedBy>
  <dcterms:created xsi:type="dcterms:W3CDTF">2019-01-22T10:36:21Z</dcterms:created>
  <dcterms:modified xsi:type="dcterms:W3CDTF">2019-01-31T10:57:02Z</dcterms:modified>
</cp:coreProperties>
</file>